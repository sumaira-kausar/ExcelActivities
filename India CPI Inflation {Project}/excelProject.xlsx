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D667FFE9-3C39-4A91-A7EC-12EB62BEBD39}" xr6:coauthVersionLast="47" xr6:coauthVersionMax="47" xr10:uidLastSave="{00000000-0000-0000-0000-000000000000}"/>
  <bookViews>
    <workbookView xWindow="-110" yWindow="-110" windowWidth="19420" windowHeight="10300" firstSheet="6" activeTab="7" xr2:uid="{BB06AF6F-6D2C-48AD-B73D-9746F5586FD4}"/>
  </bookViews>
  <sheets>
    <sheet name="{RAW}All_India_Index_Upto_Apr" sheetId="1" r:id="rId1"/>
    <sheet name="Formatted_Sheet_Ans1" sheetId="3" r:id="rId2"/>
    <sheet name="Formatted_Sheet_Ans2" sheetId="4" r:id="rId3"/>
    <sheet name="Formatted_Sheet_Ans3" sheetId="6" r:id="rId4"/>
    <sheet name="Formatted_Sheet_Ans4" sheetId="7" r:id="rId5"/>
    <sheet name="Conti_Ans4" sheetId="11" r:id="rId6"/>
    <sheet name="Formatted_Sheet_Ans5" sheetId="13" r:id="rId7"/>
    <sheet name="Conti_Ans5" sheetId="14" r:id="rId8"/>
  </sheets>
  <definedNames>
    <definedName name="_xlnm._FilterDatabase" localSheetId="0" hidden="1">'{RAW}All_India_Index_Upto_Apr'!$A$1:$AD$373</definedName>
    <definedName name="ExternalData_1" localSheetId="5" hidden="1">Conti_Ans4!$A$1:$D$53</definedName>
    <definedName name="ExternalData_1" localSheetId="7" hidden="1">Conti_Ans5!$A$1:$M$31</definedName>
    <definedName name="ExternalData_1" localSheetId="1" hidden="1">Formatted_Sheet_Ans1!$A$1:$B$17</definedName>
    <definedName name="ExternalData_1" localSheetId="2" hidden="1">Formatted_Sheet_Ans2!$A$1:$B$9</definedName>
    <definedName name="ExternalData_1" localSheetId="4" hidden="1">Formatted_Sheet_Ans4!$A$1:$C$53</definedName>
    <definedName name="ExternalData_1" localSheetId="6" hidden="1">Formatted_Sheet_Ans5!$A$1:$C$31</definedName>
    <definedName name="ExternalData_2" localSheetId="3" hidden="1">Formatted_Sheet_Ans3!$A$3:$X$15</definedName>
  </definedNames>
  <calcPr calcId="191029"/>
  <pivotCaches>
    <pivotCache cacheId="8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1" l="1"/>
  <c r="E17" i="11"/>
  <c r="E18" i="11"/>
  <c r="E19" i="11"/>
  <c r="E20" i="11"/>
  <c r="E21" i="11"/>
  <c r="E22" i="11"/>
  <c r="E23" i="11"/>
  <c r="E24" i="11"/>
  <c r="E25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13" i="11"/>
  <c r="D14" i="7"/>
  <c r="D15" i="7"/>
  <c r="D18" i="7"/>
  <c r="D19" i="7"/>
  <c r="D20" i="7"/>
  <c r="D21" i="7"/>
  <c r="D22" i="7"/>
  <c r="D23" i="7"/>
  <c r="D24" i="7"/>
  <c r="D25" i="7"/>
  <c r="D26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13" i="7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C2" i="11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H3" i="14"/>
  <c r="B36" i="14" s="1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C9" i="4"/>
  <c r="C8" i="4"/>
  <c r="C7" i="4"/>
  <c r="C4" i="4"/>
  <c r="C5" i="4"/>
  <c r="C3" i="4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E3" i="7"/>
  <c r="E2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B46" i="6"/>
  <c r="B45" i="6"/>
  <c r="B44" i="6"/>
  <c r="B43" i="6"/>
  <c r="B42" i="6"/>
  <c r="B41" i="6"/>
  <c r="B40" i="6"/>
  <c r="B39" i="6"/>
  <c r="B38" i="6"/>
  <c r="B37" i="6"/>
  <c r="B36" i="6"/>
  <c r="B35" i="6"/>
  <c r="C24" i="6"/>
  <c r="C25" i="6"/>
  <c r="C26" i="6"/>
  <c r="B19" i="6"/>
  <c r="B20" i="6"/>
  <c r="C20" i="6" s="1"/>
  <c r="B21" i="6"/>
  <c r="C21" i="6" s="1"/>
  <c r="B22" i="6"/>
  <c r="C22" i="6" s="1"/>
  <c r="B23" i="6"/>
  <c r="B24" i="6"/>
  <c r="B25" i="6"/>
  <c r="B26" i="6"/>
  <c r="B27" i="6"/>
  <c r="C27" i="6" s="1"/>
  <c r="B28" i="6"/>
  <c r="C28" i="6" s="1"/>
  <c r="B29" i="6"/>
  <c r="C29" i="6" s="1"/>
  <c r="B30" i="6"/>
  <c r="C30" i="6" s="1"/>
  <c r="Y6" i="6"/>
  <c r="Y7" i="6"/>
  <c r="Y8" i="6"/>
  <c r="Y9" i="6"/>
  <c r="Y10" i="6"/>
  <c r="Y11" i="6"/>
  <c r="Y12" i="6"/>
  <c r="Y13" i="6"/>
  <c r="Y14" i="6"/>
  <c r="Y15" i="6"/>
  <c r="Y5" i="6"/>
  <c r="W6" i="6"/>
  <c r="W7" i="6"/>
  <c r="W8" i="6"/>
  <c r="W9" i="6"/>
  <c r="W10" i="6"/>
  <c r="W11" i="6"/>
  <c r="W12" i="6"/>
  <c r="W13" i="6"/>
  <c r="W14" i="6"/>
  <c r="W15" i="6"/>
  <c r="W5" i="6"/>
  <c r="U6" i="6"/>
  <c r="U7" i="6"/>
  <c r="U8" i="6"/>
  <c r="U9" i="6"/>
  <c r="U10" i="6"/>
  <c r="U11" i="6"/>
  <c r="U12" i="6"/>
  <c r="U13" i="6"/>
  <c r="U14" i="6"/>
  <c r="U15" i="6"/>
  <c r="U5" i="6"/>
  <c r="S6" i="6"/>
  <c r="S7" i="6"/>
  <c r="S8" i="6"/>
  <c r="S9" i="6"/>
  <c r="S10" i="6"/>
  <c r="S11" i="6"/>
  <c r="S12" i="6"/>
  <c r="S13" i="6"/>
  <c r="S14" i="6"/>
  <c r="S15" i="6"/>
  <c r="S5" i="6"/>
  <c r="Q6" i="6"/>
  <c r="Q7" i="6"/>
  <c r="Q8" i="6"/>
  <c r="Q9" i="6"/>
  <c r="Q10" i="6"/>
  <c r="Q11" i="6"/>
  <c r="Q12" i="6"/>
  <c r="Q13" i="6"/>
  <c r="Q14" i="6"/>
  <c r="Q15" i="6"/>
  <c r="Q5" i="6"/>
  <c r="O6" i="6"/>
  <c r="O7" i="6"/>
  <c r="O8" i="6"/>
  <c r="O9" i="6"/>
  <c r="O10" i="6"/>
  <c r="O11" i="6"/>
  <c r="O12" i="6"/>
  <c r="O13" i="6"/>
  <c r="O14" i="6"/>
  <c r="O15" i="6"/>
  <c r="O5" i="6"/>
  <c r="M6" i="6"/>
  <c r="M7" i="6"/>
  <c r="M8" i="6"/>
  <c r="M9" i="6"/>
  <c r="M10" i="6"/>
  <c r="M11" i="6"/>
  <c r="M12" i="6"/>
  <c r="M13" i="6"/>
  <c r="M14" i="6"/>
  <c r="M15" i="6"/>
  <c r="M5" i="6"/>
  <c r="K6" i="6"/>
  <c r="K7" i="6"/>
  <c r="K8" i="6"/>
  <c r="K9" i="6"/>
  <c r="K10" i="6"/>
  <c r="K11" i="6"/>
  <c r="K12" i="6"/>
  <c r="K13" i="6"/>
  <c r="K14" i="6"/>
  <c r="K15" i="6"/>
  <c r="K5" i="6"/>
  <c r="I6" i="6"/>
  <c r="I7" i="6"/>
  <c r="I8" i="6"/>
  <c r="I9" i="6"/>
  <c r="I10" i="6"/>
  <c r="I11" i="6"/>
  <c r="I12" i="6"/>
  <c r="I13" i="6"/>
  <c r="I14" i="6"/>
  <c r="I15" i="6"/>
  <c r="I5" i="6"/>
  <c r="G6" i="6"/>
  <c r="G7" i="6"/>
  <c r="G8" i="6"/>
  <c r="G9" i="6"/>
  <c r="G10" i="6"/>
  <c r="G11" i="6"/>
  <c r="G12" i="6"/>
  <c r="G13" i="6"/>
  <c r="G14" i="6"/>
  <c r="G15" i="6"/>
  <c r="G5" i="6"/>
  <c r="E5" i="6"/>
  <c r="E6" i="6"/>
  <c r="E7" i="6"/>
  <c r="E8" i="6"/>
  <c r="E9" i="6"/>
  <c r="E10" i="6"/>
  <c r="E11" i="6"/>
  <c r="E12" i="6"/>
  <c r="E13" i="6"/>
  <c r="E14" i="6"/>
  <c r="E15" i="6"/>
  <c r="C5" i="6"/>
  <c r="C6" i="6"/>
  <c r="C7" i="6"/>
  <c r="C8" i="6"/>
  <c r="C9" i="6"/>
  <c r="C10" i="6"/>
  <c r="C11" i="6"/>
  <c r="C12" i="6"/>
  <c r="C13" i="6"/>
  <c r="C14" i="6"/>
  <c r="C15" i="6"/>
  <c r="C5" i="3"/>
  <c r="C6" i="3"/>
  <c r="C7" i="3"/>
  <c r="C8" i="3"/>
  <c r="C9" i="3"/>
  <c r="C10" i="3"/>
  <c r="C11" i="3"/>
  <c r="C12" i="3"/>
  <c r="C13" i="3"/>
  <c r="C14" i="3"/>
  <c r="C15" i="3"/>
  <c r="C16" i="3"/>
  <c r="B18" i="3"/>
  <c r="C36" i="14" l="1"/>
  <c r="G36" i="14"/>
  <c r="D36" i="14"/>
  <c r="E36" i="14"/>
  <c r="F36" i="14"/>
  <c r="C2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760B12-BCFA-4C57-ADA5-3AA2E25B0137}" keepAlive="1" name="Query - {RAW}All_India_Index_Upto_Apr" description="Connection to the '{RAW}All_India_Index_Upto_Apr' query in the workbook." type="5" refreshedVersion="8" background="1" saveData="1">
    <dbPr connection="Provider=Microsoft.Mashup.OleDb.1;Data Source=$Workbook$;Location={RAW}All_India_Index_Upto_Apr;Extended Properties=&quot;&quot;" command="SELECT * FROM [{RAW}All_India_Index_Upto_Apr]"/>
  </connection>
  <connection id="2" xr16:uid="{02B2EE61-7C80-424A-8D45-BB8A17033795}" keepAlive="1" name="Query - {RAW}All_India_Index_Upto_Apr (2)" description="Connection to the '{RAW}All_India_Index_Upto_Apr (2)' query in the workbook." type="5" refreshedVersion="8" background="1" saveData="1">
    <dbPr connection="Provider=Microsoft.Mashup.OleDb.1;Data Source=$Workbook$;Location=&quot;{RAW}All_India_Index_Upto_Apr (2)&quot;;Extended Properties=&quot;&quot;" command="SELECT * FROM [{RAW}All_India_Index_Upto_Apr (2)]"/>
  </connection>
  <connection id="3" xr16:uid="{8A3FC88D-5369-429C-98FD-1C7A2837BEC5}" keepAlive="1" name="Query - {RAW}All_India_Index_Upto_Apr (3)" description="Connection to the '{RAW}All_India_Index_Upto_Apr (3)' query in the workbook." type="5" refreshedVersion="8" background="1" saveData="1">
    <dbPr connection="Provider=Microsoft.Mashup.OleDb.1;Data Source=$Workbook$;Location=&quot;{RAW}All_India_Index_Upto_Apr (3)&quot;;Extended Properties=&quot;&quot;" command="SELECT * FROM [{RAW}All_India_Index_Upto_Apr (3)]"/>
  </connection>
  <connection id="4" xr16:uid="{7754022A-6110-4397-8496-674C85543429}" keepAlive="1" name="Query - {RAW}All_India_Index_Upto_Apr (4)" description="Connection to the '{RAW}All_India_Index_Upto_Apr (4)' query in the workbook." type="5" refreshedVersion="8" background="1" saveData="1">
    <dbPr connection="Provider=Microsoft.Mashup.OleDb.1;Data Source=$Workbook$;Location=&quot;{RAW}All_India_Index_Upto_Apr (4)&quot;;Extended Properties=&quot;&quot;" command="SELECT * FROM [{RAW}All_India_Index_Upto_Apr (4)]"/>
  </connection>
  <connection id="5" xr16:uid="{9E78B148-B55B-4BEC-9D6C-1393190F4C92}" keepAlive="1" name="Query - {RAW}All_India_Index_Upto_Apr (5)" description="Connection to the '{RAW}All_India_Index_Upto_Apr (5)' query in the workbook." type="5" refreshedVersion="8" background="1" saveData="1">
    <dbPr connection="Provider=Microsoft.Mashup.OleDb.1;Data Source=$Workbook$;Location=&quot;{RAW}All_India_Index_Upto_Apr (5)&quot;;Extended Properties=&quot;&quot;" command="SELECT * FROM [{RAW}All_India_Index_Upto_Apr (5)]"/>
  </connection>
  <connection id="6" xr16:uid="{509135C5-A3DB-4574-9C1C-660B99A73A92}" keepAlive="1" name="Query - All_India_Index_Upto_April23 (1" description="Connection to the 'All_India_Index_Upto_April23 (1' query in the workbook." type="5" refreshedVersion="8" background="1" saveData="1">
    <dbPr connection="Provider=Microsoft.Mashup.OleDb.1;Data Source=$Workbook$;Location=&quot;All_India_Index_Upto_April23 (1&quot;;Extended Properties=&quot;&quot;" command="SELECT * FROM [All_India_Index_Upto_April23 (1]"/>
  </connection>
  <connection id="7" xr16:uid="{5FE0009E-A07F-4B7F-81F1-896F776BE290}" keepAlive="1" name="Query - Cereals and products" description="Connection to the 'Cereals and products' query in the workbook." type="5" refreshedVersion="8" background="1" saveData="1">
    <dbPr connection="Provider=Microsoft.Mashup.OleDb.1;Data Source=$Workbook$;Location=&quot;Cereals and products&quot;;Extended Properties=&quot;&quot;" command="SELECT * FROM [Cereals and products]"/>
  </connection>
</connections>
</file>

<file path=xl/sharedStrings.xml><?xml version="1.0" encoding="utf-8"?>
<sst xmlns="http://schemas.openxmlformats.org/spreadsheetml/2006/main" count="1345" uniqueCount="98">
  <si>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</si>
  <si>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</si>
  <si>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</si>
  <si>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</si>
  <si>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</si>
  <si>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</si>
  <si>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</si>
  <si>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</si>
  <si>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</si>
  <si>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</si>
  <si>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</si>
  <si>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</si>
  <si>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</si>
  <si>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</si>
  <si>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</si>
  <si>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</si>
  <si>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</si>
  <si>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</si>
  <si>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</si>
  <si>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</si>
  <si>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</si>
  <si>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</si>
  <si>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</si>
  <si>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</si>
  <si>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</si>
  <si>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</si>
  <si>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</si>
  <si>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</si>
  <si>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</si>
  <si>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</si>
  <si>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</si>
  <si>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</si>
  <si>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</si>
  <si>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</si>
  <si>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</si>
  <si>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</si>
  <si>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</si>
  <si>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</si>
  <si>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</si>
  <si>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</si>
  <si>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</si>
  <si>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</si>
  <si>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</si>
  <si>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</si>
  <si>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</si>
  <si>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</si>
  <si>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</si>
  <si>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</si>
  <si>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</si>
  <si>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Attribute</t>
  </si>
  <si>
    <t>Value</t>
  </si>
  <si>
    <t>Total of all Indices(Upto Misc)</t>
  </si>
  <si>
    <t>Higest_Contribution in %</t>
  </si>
  <si>
    <t>YoY Inflation %</t>
  </si>
  <si>
    <t>Reason upon the analysis of this data -</t>
  </si>
  <si>
    <t>1. The highest inflation in 2021 (~13%) was mainly due to post COVID demand surge, supply chain problems, and spikes in food and fuel prices.</t>
  </si>
  <si>
    <t>2. The base effect from the pandemic year 2020 also contributed to an inflated YoY rate.</t>
  </si>
  <si>
    <t>MoM Inflation %</t>
  </si>
  <si>
    <t>MoM Inflation %2</t>
  </si>
  <si>
    <t>MoM Inflation %3</t>
  </si>
  <si>
    <t>MoM Inflation %4</t>
  </si>
  <si>
    <t>MoM Inflation %5</t>
  </si>
  <si>
    <t>MoM Inflation %6</t>
  </si>
  <si>
    <t>MoM Inflation %7</t>
  </si>
  <si>
    <t>MoM Inflation %8</t>
  </si>
  <si>
    <t>MoM Inflation %9</t>
  </si>
  <si>
    <t>MoM Inflation %10</t>
  </si>
  <si>
    <t>MoM Inflation %11</t>
  </si>
  <si>
    <t>MoM Inflation %12</t>
  </si>
  <si>
    <t xml:space="preserve">Monthly Inflation (MoM % Change) </t>
  </si>
  <si>
    <t>Monthly Indices</t>
  </si>
  <si>
    <t xml:space="preserve"> </t>
  </si>
  <si>
    <t>Broader Category with Highest &amp; Lowest Inflation Month in Highlight</t>
  </si>
  <si>
    <t>Monthly Inflation for Each Sub-Category</t>
  </si>
  <si>
    <t>Sub-Category</t>
  </si>
  <si>
    <t>Abs_Change in Inflation</t>
  </si>
  <si>
    <t>Absolute Change in Inflation over 12 Months for Each Sub-Category &amp; The Biggest Individual Category Contributor in Highlight</t>
  </si>
  <si>
    <t>(YoY Inflation %)</t>
  </si>
  <si>
    <t>Period</t>
  </si>
  <si>
    <t>Pre-COVID</t>
  </si>
  <si>
    <t>Post-COVID</t>
  </si>
  <si>
    <t>Average of (YoY Inflation %)</t>
  </si>
  <si>
    <t>Month-Year</t>
  </si>
  <si>
    <t>% Change Oil</t>
  </si>
  <si>
    <t>MoM % Change (Clothing)</t>
  </si>
  <si>
    <t>MoM % Change (Food)</t>
  </si>
  <si>
    <t>MoM % Change (Fuel)</t>
  </si>
  <si>
    <t>MoM % Change (Household)</t>
  </si>
  <si>
    <t>MoM % Change (Transport)</t>
  </si>
  <si>
    <t>General CPI %</t>
  </si>
  <si>
    <t>Category</t>
  </si>
  <si>
    <t>Correlation with Oil</t>
  </si>
  <si>
    <t>Food</t>
  </si>
  <si>
    <t>Fuel</t>
  </si>
  <si>
    <t>Household</t>
  </si>
  <si>
    <t>Transport</t>
  </si>
  <si>
    <t>General CPI</t>
  </si>
  <si>
    <t>Correlational 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</si>
</sst>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9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left" vertical="center"/>
    </xf>
    <xf numFmtId="0" fontId="19" fillId="34" borderId="0" xfId="0" applyFont="1" applyFill="1" applyAlignment="1">
      <alignment horizontal="left" vertical="center"/>
    </xf>
    <xf numFmtId="0" fontId="0" fillId="0" borderId="0" xfId="0" applyNumberForma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numFmt numFmtId="0" formatCode="General"/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Highest</a:t>
            </a:r>
            <a:r>
              <a:rPr lang="en-IN" baseline="0"/>
              <a:t> Contribution towards CPI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Formatted_Sheet_Ans1!$A$5:$A$16</c:f>
              <c:strCache>
                <c:ptCount val="12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Housing</c:v>
                </c:pt>
                <c:pt idx="4">
                  <c:v>Fuel and light</c:v>
                </c:pt>
                <c:pt idx="5">
                  <c:v>Household goods and services</c:v>
                </c:pt>
                <c:pt idx="6">
                  <c:v>Health</c:v>
                </c:pt>
                <c:pt idx="7">
                  <c:v>Transport and communication</c:v>
                </c:pt>
                <c:pt idx="8">
                  <c:v>Recreation and amusement</c:v>
                </c:pt>
                <c:pt idx="9">
                  <c:v>Education</c:v>
                </c:pt>
                <c:pt idx="10">
                  <c:v>Personal care and effects</c:v>
                </c:pt>
                <c:pt idx="11">
                  <c:v>Miscellaneous</c:v>
                </c:pt>
              </c:strCache>
            </c:strRef>
          </c:cat>
          <c:val>
            <c:numRef>
              <c:f>Formatted_Sheet_Ans1!$B$5:$B$16</c:f>
              <c:numCache>
                <c:formatCode>General</c:formatCode>
                <c:ptCount val="12"/>
                <c:pt idx="0">
                  <c:v>179.1</c:v>
                </c:pt>
                <c:pt idx="1">
                  <c:v>201</c:v>
                </c:pt>
                <c:pt idx="2">
                  <c:v>186.2</c:v>
                </c:pt>
                <c:pt idx="3">
                  <c:v>175.6</c:v>
                </c:pt>
                <c:pt idx="4">
                  <c:v>182.8</c:v>
                </c:pt>
                <c:pt idx="5">
                  <c:v>175.2</c:v>
                </c:pt>
                <c:pt idx="6">
                  <c:v>185.7</c:v>
                </c:pt>
                <c:pt idx="7">
                  <c:v>164.8</c:v>
                </c:pt>
                <c:pt idx="8">
                  <c:v>171.2</c:v>
                </c:pt>
                <c:pt idx="9">
                  <c:v>177.1</c:v>
                </c:pt>
                <c:pt idx="10">
                  <c:v>185.2</c:v>
                </c:pt>
                <c:pt idx="11">
                  <c:v>175.7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6-48CD-9A29-4009E97380F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Formatted_Sheet_Ans1!$A$5:$A$16</c:f>
              <c:strCache>
                <c:ptCount val="12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Housing</c:v>
                </c:pt>
                <c:pt idx="4">
                  <c:v>Fuel and light</c:v>
                </c:pt>
                <c:pt idx="5">
                  <c:v>Household goods and services</c:v>
                </c:pt>
                <c:pt idx="6">
                  <c:v>Health</c:v>
                </c:pt>
                <c:pt idx="7">
                  <c:v>Transport and communication</c:v>
                </c:pt>
                <c:pt idx="8">
                  <c:v>Recreation and amusement</c:v>
                </c:pt>
                <c:pt idx="9">
                  <c:v>Education</c:v>
                </c:pt>
                <c:pt idx="10">
                  <c:v>Personal care and effects</c:v>
                </c:pt>
                <c:pt idx="11">
                  <c:v>Miscellaneous</c:v>
                </c:pt>
              </c:strCache>
            </c:strRef>
          </c:cat>
          <c:val>
            <c:numRef>
              <c:f>Formatted_Sheet_Ans1!$C$5:$C$16</c:f>
              <c:numCache>
                <c:formatCode>0.00</c:formatCode>
                <c:ptCount val="12"/>
                <c:pt idx="0">
                  <c:v>8.2932024448972026</c:v>
                </c:pt>
                <c:pt idx="1">
                  <c:v>9.3072791257640315</c:v>
                </c:pt>
                <c:pt idx="2">
                  <c:v>8.6219670309316534</c:v>
                </c:pt>
                <c:pt idx="3">
                  <c:v>8.1311353954436001</c:v>
                </c:pt>
                <c:pt idx="4">
                  <c:v>8.4645304686052985</c:v>
                </c:pt>
                <c:pt idx="5">
                  <c:v>8.1126134469346169</c:v>
                </c:pt>
                <c:pt idx="6">
                  <c:v>8.5988145952954245</c:v>
                </c:pt>
                <c:pt idx="7">
                  <c:v>7.6310427857010561</c:v>
                </c:pt>
                <c:pt idx="8">
                  <c:v>7.9273939618447864</c:v>
                </c:pt>
                <c:pt idx="9">
                  <c:v>8.2005927023522869</c:v>
                </c:pt>
                <c:pt idx="10">
                  <c:v>8.5756621596591955</c:v>
                </c:pt>
                <c:pt idx="11">
                  <c:v>8.1357658825708459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6-48CD-9A29-4009E9738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0097104"/>
        <c:axId val="1730104784"/>
      </c:barChart>
      <c:catAx>
        <c:axId val="173009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104784"/>
        <c:crosses val="autoZero"/>
        <c:auto val="1"/>
        <c:lblAlgn val="ctr"/>
        <c:lblOffset val="100"/>
        <c:noMultiLvlLbl val="0"/>
      </c:catAx>
      <c:valAx>
        <c:axId val="173010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09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 trend of YoY increase in CPI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Formatted_Sheet_Ans2!$A$3:$A$9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xVal>
          <c:yVal>
            <c:numRef>
              <c:f>Formatted_Sheet_Ans2!$C$3:$C$9</c:f>
              <c:numCache>
                <c:formatCode>0.00;[Red]0.00</c:formatCode>
                <c:ptCount val="7"/>
                <c:pt idx="0">
                  <c:v>2.1799999999999997</c:v>
                </c:pt>
                <c:pt idx="1">
                  <c:v>4.88</c:v>
                </c:pt>
                <c:pt idx="2">
                  <c:v>3.05</c:v>
                </c:pt>
                <c:pt idx="3">
                  <c:v>0</c:v>
                </c:pt>
                <c:pt idx="4">
                  <c:v>12.959999999999999</c:v>
                </c:pt>
                <c:pt idx="5">
                  <c:v>7.05</c:v>
                </c:pt>
                <c:pt idx="6">
                  <c:v>4.3099999999999996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3F-459A-B1AF-E43DD81DD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064944"/>
        <c:axId val="1730058224"/>
      </c:scatterChart>
      <c:valAx>
        <c:axId val="173006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058224"/>
        <c:crosses val="autoZero"/>
        <c:crossBetween val="midCat"/>
      </c:valAx>
      <c:valAx>
        <c:axId val="173005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;[Red]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06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MoM Inflation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Formatted_Sheet_Ans3!$C$18:$C$19</c:f>
              <c:strCache>
                <c:ptCount val="2"/>
                <c:pt idx="0">
                  <c:v>MoM Inflation %</c:v>
                </c:pt>
                <c:pt idx="1">
                  <c:v>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Formatted_Sheet_Ans3!$A$20:$A$30</c:f>
              <c:strCache>
                <c:ptCount val="11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</c:strCache>
            </c:strRef>
          </c:cat>
          <c:val>
            <c:numRef>
              <c:f>Formatted_Sheet_Ans3!$C$20:$C$30</c:f>
              <c:numCache>
                <c:formatCode>General</c:formatCode>
                <c:ptCount val="11"/>
                <c:pt idx="0">
                  <c:v>0.21000000000000002</c:v>
                </c:pt>
                <c:pt idx="1">
                  <c:v>0.08</c:v>
                </c:pt>
                <c:pt idx="2">
                  <c:v>0.49</c:v>
                </c:pt>
                <c:pt idx="3">
                  <c:v>0.7</c:v>
                </c:pt>
                <c:pt idx="4">
                  <c:v>0.04</c:v>
                </c:pt>
                <c:pt idx="5">
                  <c:v>-0.52</c:v>
                </c:pt>
                <c:pt idx="6">
                  <c:v>0.41000000000000003</c:v>
                </c:pt>
                <c:pt idx="7">
                  <c:v>-0.66</c:v>
                </c:pt>
                <c:pt idx="8">
                  <c:v>0.01</c:v>
                </c:pt>
                <c:pt idx="9">
                  <c:v>0.46</c:v>
                </c:pt>
                <c:pt idx="10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CC-4CCE-8C2B-089D856E7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767888"/>
        <c:axId val="769768848"/>
      </c:lineChart>
      <c:catAx>
        <c:axId val="76976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768848"/>
        <c:crosses val="autoZero"/>
        <c:auto val="1"/>
        <c:lblAlgn val="ctr"/>
        <c:lblOffset val="100"/>
        <c:noMultiLvlLbl val="0"/>
      </c:catAx>
      <c:valAx>
        <c:axId val="76976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76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Formatted_Sheet_Ans3!$B$34</c:f>
              <c:strCache>
                <c:ptCount val="1"/>
                <c:pt idx="0">
                  <c:v>Abs_Change in Inflation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Ref>
              <c:f>Formatted_Sheet_Ans3!$A$35:$A$46</c:f>
              <c:strCache>
                <c:ptCount val="12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</c:strCache>
            </c:strRef>
          </c:cat>
          <c:val>
            <c:numRef>
              <c:f>Formatted_Sheet_Ans3!$B$35:$B$46</c:f>
              <c:numCache>
                <c:formatCode>General</c:formatCode>
                <c:ptCount val="12"/>
                <c:pt idx="0">
                  <c:v>18.699999999999989</c:v>
                </c:pt>
                <c:pt idx="1">
                  <c:v>-5.0999999999999943</c:v>
                </c:pt>
                <c:pt idx="2">
                  <c:v>2.3999999999999773</c:v>
                </c:pt>
                <c:pt idx="3">
                  <c:v>13.699999999999989</c:v>
                </c:pt>
                <c:pt idx="4">
                  <c:v>-30.900000000000006</c:v>
                </c:pt>
                <c:pt idx="5">
                  <c:v>2.5</c:v>
                </c:pt>
                <c:pt idx="6">
                  <c:v>-21.300000000000011</c:v>
                </c:pt>
                <c:pt idx="7">
                  <c:v>11.299999999999983</c:v>
                </c:pt>
                <c:pt idx="8">
                  <c:v>2.7999999999999972</c:v>
                </c:pt>
                <c:pt idx="9">
                  <c:v>30.900000000000006</c:v>
                </c:pt>
                <c:pt idx="10">
                  <c:v>5.5</c:v>
                </c:pt>
                <c:pt idx="11">
                  <c:v>10.299999999999983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2-4371-8985-E663B0E96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45695"/>
        <c:axId val="17544735"/>
        <c:axId val="0"/>
      </c:bar3DChart>
      <c:catAx>
        <c:axId val="1754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4735"/>
        <c:crosses val="autoZero"/>
        <c:auto val="1"/>
        <c:lblAlgn val="ctr"/>
        <c:lblOffset val="100"/>
        <c:noMultiLvlLbl val="0"/>
      </c:catAx>
      <c:valAx>
        <c:axId val="17544735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 CPI Inflation Trend (Post-COVID-2019)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Conti_Ans4!$E$1</c:f>
              <c:strCache>
                <c:ptCount val="1"/>
                <c:pt idx="0">
                  <c:v>(YoY Inflation 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Conti_Ans4!$C$2:$C$53</c:f>
              <c:strCache>
                <c:ptCount val="52"/>
                <c:pt idx="0">
                  <c:v>Jan-2019</c:v>
                </c:pt>
                <c:pt idx="1">
                  <c:v>Feb-2019</c:v>
                </c:pt>
                <c:pt idx="2">
                  <c:v>Mar-2019</c:v>
                </c:pt>
                <c:pt idx="3">
                  <c:v>May-2019</c:v>
                </c:pt>
                <c:pt idx="4">
                  <c:v>Jun-2019</c:v>
                </c:pt>
                <c:pt idx="5">
                  <c:v>Jul-2019</c:v>
                </c:pt>
                <c:pt idx="6">
                  <c:v>Aug-2019</c:v>
                </c:pt>
                <c:pt idx="7">
                  <c:v>Sep-2019</c:v>
                </c:pt>
                <c:pt idx="8">
                  <c:v>Oct-2019</c:v>
                </c:pt>
                <c:pt idx="9">
                  <c:v>Nov-2019</c:v>
                </c:pt>
                <c:pt idx="10">
                  <c:v>Dec-2019</c:v>
                </c:pt>
                <c:pt idx="11">
                  <c:v>Jan-2020</c:v>
                </c:pt>
                <c:pt idx="12">
                  <c:v>Feb-2020</c:v>
                </c:pt>
                <c:pt idx="13">
                  <c:v>Mar-2020</c:v>
                </c:pt>
                <c:pt idx="14">
                  <c:v>Apr-2020</c:v>
                </c:pt>
                <c:pt idx="15">
                  <c:v>May-2020</c:v>
                </c:pt>
                <c:pt idx="16">
                  <c:v>Jun-2020</c:v>
                </c:pt>
                <c:pt idx="17">
                  <c:v>Jul-2020</c:v>
                </c:pt>
                <c:pt idx="18">
                  <c:v>Aug-2020</c:v>
                </c:pt>
                <c:pt idx="19">
                  <c:v>Sep-2020</c:v>
                </c:pt>
                <c:pt idx="20">
                  <c:v>Oct-2020</c:v>
                </c:pt>
                <c:pt idx="21">
                  <c:v>Nov-2020</c:v>
                </c:pt>
                <c:pt idx="22">
                  <c:v>Dec-2020</c:v>
                </c:pt>
                <c:pt idx="23">
                  <c:v>Jan-2021</c:v>
                </c:pt>
                <c:pt idx="24">
                  <c:v>Feb-2021</c:v>
                </c:pt>
                <c:pt idx="25">
                  <c:v>Mar-2021</c:v>
                </c:pt>
                <c:pt idx="26">
                  <c:v>Apr-2021</c:v>
                </c:pt>
                <c:pt idx="27">
                  <c:v>May-2021</c:v>
                </c:pt>
                <c:pt idx="28">
                  <c:v>Jun-2021</c:v>
                </c:pt>
                <c:pt idx="29">
                  <c:v>Jul-2021</c:v>
                </c:pt>
                <c:pt idx="30">
                  <c:v>Aug-2021</c:v>
                </c:pt>
                <c:pt idx="31">
                  <c:v>Sep-2021</c:v>
                </c:pt>
                <c:pt idx="32">
                  <c:v>Oct-2021</c:v>
                </c:pt>
                <c:pt idx="33">
                  <c:v>Nov-2021</c:v>
                </c:pt>
                <c:pt idx="34">
                  <c:v>Dec-2021</c:v>
                </c:pt>
                <c:pt idx="35">
                  <c:v>Jan-2022</c:v>
                </c:pt>
                <c:pt idx="36">
                  <c:v>Feb-2022</c:v>
                </c:pt>
                <c:pt idx="37">
                  <c:v>Mar-2022</c:v>
                </c:pt>
                <c:pt idx="38">
                  <c:v>Apr-2022</c:v>
                </c:pt>
                <c:pt idx="39">
                  <c:v>May-2022</c:v>
                </c:pt>
                <c:pt idx="40">
                  <c:v>Jun-2022</c:v>
                </c:pt>
                <c:pt idx="41">
                  <c:v>Jul-2022</c:v>
                </c:pt>
                <c:pt idx="42">
                  <c:v>Aug-2022</c:v>
                </c:pt>
                <c:pt idx="43">
                  <c:v>Sep-2022</c:v>
                </c:pt>
                <c:pt idx="44">
                  <c:v>Oct-2022</c:v>
                </c:pt>
                <c:pt idx="45">
                  <c:v>Nov-2022</c:v>
                </c:pt>
                <c:pt idx="46">
                  <c:v>Dec-2022</c:v>
                </c:pt>
                <c:pt idx="47">
                  <c:v>Jan-2023</c:v>
                </c:pt>
                <c:pt idx="48">
                  <c:v>Feb-2023</c:v>
                </c:pt>
                <c:pt idx="49">
                  <c:v>Mar-2023</c:v>
                </c:pt>
                <c:pt idx="50">
                  <c:v>Apr-2023</c:v>
                </c:pt>
                <c:pt idx="51">
                  <c:v>May-2023</c:v>
                </c:pt>
              </c:strCache>
            </c:strRef>
          </c:cat>
          <c:val>
            <c:numRef>
              <c:f>Conti_Ans4!$E$2:$E$53</c:f>
              <c:numCache>
                <c:formatCode>General</c:formatCode>
                <c:ptCount val="52"/>
                <c:pt idx="11">
                  <c:v>6.58</c:v>
                </c:pt>
                <c:pt idx="12">
                  <c:v>5.85</c:v>
                </c:pt>
                <c:pt idx="15">
                  <c:v>5.2799999999999994</c:v>
                </c:pt>
                <c:pt idx="16">
                  <c:v>4.6899999999999995</c:v>
                </c:pt>
                <c:pt idx="17">
                  <c:v>5.56</c:v>
                </c:pt>
                <c:pt idx="18">
                  <c:v>5.0999999999999996</c:v>
                </c:pt>
                <c:pt idx="19">
                  <c:v>5.25</c:v>
                </c:pt>
                <c:pt idx="20">
                  <c:v>5.3199999999999994</c:v>
                </c:pt>
                <c:pt idx="21">
                  <c:v>5.8</c:v>
                </c:pt>
                <c:pt idx="22">
                  <c:v>5.5</c:v>
                </c:pt>
                <c:pt idx="23">
                  <c:v>5.39</c:v>
                </c:pt>
                <c:pt idx="26">
                  <c:v>5.67</c:v>
                </c:pt>
                <c:pt idx="27">
                  <c:v>6.26</c:v>
                </c:pt>
                <c:pt idx="28">
                  <c:v>5.59</c:v>
                </c:pt>
                <c:pt idx="29">
                  <c:v>5.5</c:v>
                </c:pt>
                <c:pt idx="30">
                  <c:v>4.3499999999999996</c:v>
                </c:pt>
                <c:pt idx="31">
                  <c:v>4.49</c:v>
                </c:pt>
                <c:pt idx="32">
                  <c:v>4.91</c:v>
                </c:pt>
                <c:pt idx="33">
                  <c:v>5.66</c:v>
                </c:pt>
                <c:pt idx="34">
                  <c:v>5.8199999999999994</c:v>
                </c:pt>
                <c:pt idx="35">
                  <c:v>5.9399999999999995</c:v>
                </c:pt>
                <c:pt idx="36">
                  <c:v>6.2799999999999994</c:v>
                </c:pt>
                <c:pt idx="37">
                  <c:v>6.05</c:v>
                </c:pt>
                <c:pt idx="38">
                  <c:v>6.45</c:v>
                </c:pt>
                <c:pt idx="39">
                  <c:v>6.22</c:v>
                </c:pt>
                <c:pt idx="40">
                  <c:v>6.26</c:v>
                </c:pt>
                <c:pt idx="41">
                  <c:v>6.81</c:v>
                </c:pt>
                <c:pt idx="42">
                  <c:v>5.93</c:v>
                </c:pt>
                <c:pt idx="43">
                  <c:v>6</c:v>
                </c:pt>
                <c:pt idx="44">
                  <c:v>6.2</c:v>
                </c:pt>
                <c:pt idx="45">
                  <c:v>6.04</c:v>
                </c:pt>
                <c:pt idx="46">
                  <c:v>6.27</c:v>
                </c:pt>
                <c:pt idx="47">
                  <c:v>5.67</c:v>
                </c:pt>
                <c:pt idx="48">
                  <c:v>4.18</c:v>
                </c:pt>
                <c:pt idx="49">
                  <c:v>3.73</c:v>
                </c:pt>
                <c:pt idx="50">
                  <c:v>3.7699999999999996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5-4D28-B474-E68F06B4A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607823"/>
        <c:axId val="475146127"/>
      </c:lineChart>
      <c:catAx>
        <c:axId val="195607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46127"/>
        <c:crosses val="autoZero"/>
        <c:auto val="1"/>
        <c:lblAlgn val="ctr"/>
        <c:lblOffset val="100"/>
        <c:noMultiLvlLbl val="0"/>
      </c:catAx>
      <c:valAx>
        <c:axId val="47514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0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CPI</a:t>
            </a:r>
            <a:r>
              <a:rPr lang="en-US" baseline="0"/>
              <a:t> General Index Trend - 2019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Conti_Ans4!$D$1</c:f>
              <c:strCache>
                <c:ptCount val="1"/>
                <c:pt idx="0">
                  <c:v>General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Conti_Ans4!$C$2:$C$53</c:f>
              <c:strCache>
                <c:ptCount val="52"/>
                <c:pt idx="0">
                  <c:v>Jan-2019</c:v>
                </c:pt>
                <c:pt idx="1">
                  <c:v>Feb-2019</c:v>
                </c:pt>
                <c:pt idx="2">
                  <c:v>Mar-2019</c:v>
                </c:pt>
                <c:pt idx="3">
                  <c:v>May-2019</c:v>
                </c:pt>
                <c:pt idx="4">
                  <c:v>Jun-2019</c:v>
                </c:pt>
                <c:pt idx="5">
                  <c:v>Jul-2019</c:v>
                </c:pt>
                <c:pt idx="6">
                  <c:v>Aug-2019</c:v>
                </c:pt>
                <c:pt idx="7">
                  <c:v>Sep-2019</c:v>
                </c:pt>
                <c:pt idx="8">
                  <c:v>Oct-2019</c:v>
                </c:pt>
                <c:pt idx="9">
                  <c:v>Nov-2019</c:v>
                </c:pt>
                <c:pt idx="10">
                  <c:v>Dec-2019</c:v>
                </c:pt>
                <c:pt idx="11">
                  <c:v>Jan-2020</c:v>
                </c:pt>
                <c:pt idx="12">
                  <c:v>Feb-2020</c:v>
                </c:pt>
                <c:pt idx="13">
                  <c:v>Mar-2020</c:v>
                </c:pt>
                <c:pt idx="14">
                  <c:v>Apr-2020</c:v>
                </c:pt>
                <c:pt idx="15">
                  <c:v>May-2020</c:v>
                </c:pt>
                <c:pt idx="16">
                  <c:v>Jun-2020</c:v>
                </c:pt>
                <c:pt idx="17">
                  <c:v>Jul-2020</c:v>
                </c:pt>
                <c:pt idx="18">
                  <c:v>Aug-2020</c:v>
                </c:pt>
                <c:pt idx="19">
                  <c:v>Sep-2020</c:v>
                </c:pt>
                <c:pt idx="20">
                  <c:v>Oct-2020</c:v>
                </c:pt>
                <c:pt idx="21">
                  <c:v>Nov-2020</c:v>
                </c:pt>
                <c:pt idx="22">
                  <c:v>Dec-2020</c:v>
                </c:pt>
                <c:pt idx="23">
                  <c:v>Jan-2021</c:v>
                </c:pt>
                <c:pt idx="24">
                  <c:v>Feb-2021</c:v>
                </c:pt>
                <c:pt idx="25">
                  <c:v>Mar-2021</c:v>
                </c:pt>
                <c:pt idx="26">
                  <c:v>Apr-2021</c:v>
                </c:pt>
                <c:pt idx="27">
                  <c:v>May-2021</c:v>
                </c:pt>
                <c:pt idx="28">
                  <c:v>Jun-2021</c:v>
                </c:pt>
                <c:pt idx="29">
                  <c:v>Jul-2021</c:v>
                </c:pt>
                <c:pt idx="30">
                  <c:v>Aug-2021</c:v>
                </c:pt>
                <c:pt idx="31">
                  <c:v>Sep-2021</c:v>
                </c:pt>
                <c:pt idx="32">
                  <c:v>Oct-2021</c:v>
                </c:pt>
                <c:pt idx="33">
                  <c:v>Nov-2021</c:v>
                </c:pt>
                <c:pt idx="34">
                  <c:v>Dec-2021</c:v>
                </c:pt>
                <c:pt idx="35">
                  <c:v>Jan-2022</c:v>
                </c:pt>
                <c:pt idx="36">
                  <c:v>Feb-2022</c:v>
                </c:pt>
                <c:pt idx="37">
                  <c:v>Mar-2022</c:v>
                </c:pt>
                <c:pt idx="38">
                  <c:v>Apr-2022</c:v>
                </c:pt>
                <c:pt idx="39">
                  <c:v>May-2022</c:v>
                </c:pt>
                <c:pt idx="40">
                  <c:v>Jun-2022</c:v>
                </c:pt>
                <c:pt idx="41">
                  <c:v>Jul-2022</c:v>
                </c:pt>
                <c:pt idx="42">
                  <c:v>Aug-2022</c:v>
                </c:pt>
                <c:pt idx="43">
                  <c:v>Sep-2022</c:v>
                </c:pt>
                <c:pt idx="44">
                  <c:v>Oct-2022</c:v>
                </c:pt>
                <c:pt idx="45">
                  <c:v>Nov-2022</c:v>
                </c:pt>
                <c:pt idx="46">
                  <c:v>Dec-2022</c:v>
                </c:pt>
                <c:pt idx="47">
                  <c:v>Jan-2023</c:v>
                </c:pt>
                <c:pt idx="48">
                  <c:v>Feb-2023</c:v>
                </c:pt>
                <c:pt idx="49">
                  <c:v>Mar-2023</c:v>
                </c:pt>
                <c:pt idx="50">
                  <c:v>Apr-2023</c:v>
                </c:pt>
                <c:pt idx="51">
                  <c:v>May-2023</c:v>
                </c:pt>
              </c:strCache>
            </c:strRef>
          </c:cat>
          <c:val>
            <c:numRef>
              <c:f>Conti_Ans4!$D$2:$D$53</c:f>
              <c:numCache>
                <c:formatCode>General</c:formatCode>
                <c:ptCount val="52"/>
                <c:pt idx="0">
                  <c:v>139.6</c:v>
                </c:pt>
                <c:pt idx="1">
                  <c:v>139.9</c:v>
                </c:pt>
                <c:pt idx="2">
                  <c:v>140.4</c:v>
                </c:pt>
                <c:pt idx="3">
                  <c:v>142</c:v>
                </c:pt>
                <c:pt idx="4">
                  <c:v>142.9</c:v>
                </c:pt>
                <c:pt idx="5">
                  <c:v>144.19999999999999</c:v>
                </c:pt>
                <c:pt idx="6">
                  <c:v>145</c:v>
                </c:pt>
                <c:pt idx="7">
                  <c:v>145.80000000000001</c:v>
                </c:pt>
                <c:pt idx="8">
                  <c:v>147.19999999999999</c:v>
                </c:pt>
                <c:pt idx="9">
                  <c:v>148.6</c:v>
                </c:pt>
                <c:pt idx="10">
                  <c:v>150.4</c:v>
                </c:pt>
                <c:pt idx="11">
                  <c:v>150.19999999999999</c:v>
                </c:pt>
                <c:pt idx="12">
                  <c:v>149.1</c:v>
                </c:pt>
                <c:pt idx="13">
                  <c:v>148.6</c:v>
                </c:pt>
                <c:pt idx="14">
                  <c:v>0</c:v>
                </c:pt>
                <c:pt idx="15">
                  <c:v>0</c:v>
                </c:pt>
                <c:pt idx="16">
                  <c:v>151.80000000000001</c:v>
                </c:pt>
                <c:pt idx="17">
                  <c:v>151.80000000000001</c:v>
                </c:pt>
                <c:pt idx="18">
                  <c:v>153.9</c:v>
                </c:pt>
                <c:pt idx="19">
                  <c:v>154.69999999999999</c:v>
                </c:pt>
                <c:pt idx="20">
                  <c:v>156.4</c:v>
                </c:pt>
                <c:pt idx="21">
                  <c:v>158.4</c:v>
                </c:pt>
                <c:pt idx="22">
                  <c:v>158.9</c:v>
                </c:pt>
                <c:pt idx="23">
                  <c:v>157.30000000000001</c:v>
                </c:pt>
                <c:pt idx="24">
                  <c:v>156.6</c:v>
                </c:pt>
                <c:pt idx="25">
                  <c:v>156.80000000000001</c:v>
                </c:pt>
                <c:pt idx="26">
                  <c:v>157.80000000000001</c:v>
                </c:pt>
                <c:pt idx="27">
                  <c:v>160.4</c:v>
                </c:pt>
                <c:pt idx="28">
                  <c:v>161.30000000000001</c:v>
                </c:pt>
                <c:pt idx="29">
                  <c:v>162.5</c:v>
                </c:pt>
                <c:pt idx="30">
                  <c:v>163.19999999999999</c:v>
                </c:pt>
                <c:pt idx="31">
                  <c:v>163.19999999999999</c:v>
                </c:pt>
                <c:pt idx="32">
                  <c:v>165.5</c:v>
                </c:pt>
                <c:pt idx="33">
                  <c:v>166.7</c:v>
                </c:pt>
                <c:pt idx="34">
                  <c:v>166.2</c:v>
                </c:pt>
                <c:pt idx="35">
                  <c:v>165.7</c:v>
                </c:pt>
                <c:pt idx="36">
                  <c:v>166.1</c:v>
                </c:pt>
                <c:pt idx="37">
                  <c:v>167.7</c:v>
                </c:pt>
                <c:pt idx="38">
                  <c:v>170.1</c:v>
                </c:pt>
                <c:pt idx="39">
                  <c:v>171.7</c:v>
                </c:pt>
                <c:pt idx="40">
                  <c:v>172.6</c:v>
                </c:pt>
                <c:pt idx="41">
                  <c:v>173.4</c:v>
                </c:pt>
                <c:pt idx="42">
                  <c:v>174.3</c:v>
                </c:pt>
                <c:pt idx="43">
                  <c:v>175.3</c:v>
                </c:pt>
                <c:pt idx="44">
                  <c:v>176.7</c:v>
                </c:pt>
                <c:pt idx="45">
                  <c:v>176.5</c:v>
                </c:pt>
                <c:pt idx="46">
                  <c:v>175.7</c:v>
                </c:pt>
                <c:pt idx="47">
                  <c:v>176.5</c:v>
                </c:pt>
                <c:pt idx="48">
                  <c:v>177.2</c:v>
                </c:pt>
                <c:pt idx="49">
                  <c:v>177.2</c:v>
                </c:pt>
                <c:pt idx="50">
                  <c:v>178.1</c:v>
                </c:pt>
                <c:pt idx="51">
                  <c:v>179.1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E5-4EFE-BFD9-6615FC66A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6111"/>
        <c:axId val="9195631"/>
      </c:lineChart>
      <c:catAx>
        <c:axId val="919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631"/>
        <c:crosses val="autoZero"/>
        <c:auto val="1"/>
        <c:lblAlgn val="ctr"/>
        <c:lblOffset val="100"/>
        <c:noMultiLvlLbl val="0"/>
      </c:catAx>
      <c:valAx>
        <c:axId val="919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19050</xdr:rowOff>
    </xdr:from>
    <xdr:to>
      <xdr:col>8</xdr:col>
      <xdr:colOff>1250950</xdr:colOff>
      <xdr:row>15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B21AE9-0D11-DE95-E0FC-86BF7D8AC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6350</xdr:rowOff>
    </xdr:from>
    <xdr:to>
      <xdr:col>11</xdr:col>
      <xdr:colOff>0</xdr:colOff>
      <xdr:row>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DF741-B90A-A57D-F986-7C83F55A4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17</xdr:row>
      <xdr:rowOff>12700</xdr:rowOff>
    </xdr:from>
    <xdr:to>
      <xdr:col>11</xdr:col>
      <xdr:colOff>533400</xdr:colOff>
      <xdr:row>29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2ED742-A7A7-1AF5-FC46-849B3B1D3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33</xdr:row>
      <xdr:rowOff>12700</xdr:rowOff>
    </xdr:from>
    <xdr:to>
      <xdr:col>7</xdr:col>
      <xdr:colOff>1250950</xdr:colOff>
      <xdr:row>45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282FA2-DAEE-AB1D-60FB-D06A43384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0</xdr:row>
      <xdr:rowOff>12700</xdr:rowOff>
    </xdr:from>
    <xdr:to>
      <xdr:col>15</xdr:col>
      <xdr:colOff>590550</xdr:colOff>
      <xdr:row>19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B7214B-2EC2-17C3-9092-AD910DC72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</xdr:colOff>
      <xdr:row>22</xdr:row>
      <xdr:rowOff>12700</xdr:rowOff>
    </xdr:from>
    <xdr:to>
      <xdr:col>16</xdr:col>
      <xdr:colOff>0</xdr:colOff>
      <xdr:row>42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105ADD-53CA-7E9A-80B9-8126BBF78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021.527033101855" createdVersion="8" refreshedVersion="8" minRefreshableVersion="3" recordCount="52" xr:uid="{3DED7778-6AF5-4490-B40D-61765F4130DB}">
  <cacheSource type="worksheet">
    <worksheetSource name="RAW_All_India_Index_Upto_Apr__2"/>
  </cacheSource>
  <cacheFields count="5">
    <cacheField name="Year" numFmtId="0">
      <sharedItems containsSemiMixedTypes="0" containsString="0" containsNumber="1" containsInteger="1" minValue="2019" maxValue="2023"/>
    </cacheField>
    <cacheField name="Month" numFmtId="0">
      <sharedItems/>
    </cacheField>
    <cacheField name="General index" numFmtId="0">
      <sharedItems containsSemiMixedTypes="0" containsString="0" containsNumber="1" minValue="0" maxValue="179.1"/>
    </cacheField>
    <cacheField name="(YoY Inflation %)" numFmtId="0">
      <sharedItems containsString="0" containsBlank="1" containsNumber="1" minValue="3.73" maxValue="7.6"/>
    </cacheField>
    <cacheField name="Period" numFmtId="0">
      <sharedItems count="2">
        <s v="Pre-COVID"/>
        <s v="Post-COV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19"/>
    <s v="January"/>
    <n v="139.6"/>
    <m/>
    <x v="0"/>
  </r>
  <r>
    <n v="2019"/>
    <s v="February"/>
    <n v="139.9"/>
    <m/>
    <x v="0"/>
  </r>
  <r>
    <n v="2019"/>
    <s v="March"/>
    <n v="140.4"/>
    <m/>
    <x v="0"/>
  </r>
  <r>
    <n v="2019"/>
    <s v="May"/>
    <n v="142"/>
    <m/>
    <x v="0"/>
  </r>
  <r>
    <n v="2019"/>
    <s v="June"/>
    <n v="142.9"/>
    <m/>
    <x v="0"/>
  </r>
  <r>
    <n v="2019"/>
    <s v="July"/>
    <n v="144.19999999999999"/>
    <m/>
    <x v="0"/>
  </r>
  <r>
    <n v="2019"/>
    <s v="August"/>
    <n v="145"/>
    <m/>
    <x v="0"/>
  </r>
  <r>
    <n v="2019"/>
    <s v="September"/>
    <n v="145.80000000000001"/>
    <m/>
    <x v="0"/>
  </r>
  <r>
    <n v="2019"/>
    <s v="October"/>
    <n v="147.19999999999999"/>
    <m/>
    <x v="0"/>
  </r>
  <r>
    <n v="2019"/>
    <s v="November"/>
    <n v="148.6"/>
    <m/>
    <x v="0"/>
  </r>
  <r>
    <n v="2019"/>
    <s v="December"/>
    <n v="150.4"/>
    <m/>
    <x v="0"/>
  </r>
  <r>
    <n v="2020"/>
    <s v="January"/>
    <n v="150.19999999999999"/>
    <n v="7.6"/>
    <x v="1"/>
  </r>
  <r>
    <n v="2020"/>
    <s v="February"/>
    <n v="149.1"/>
    <n v="6.58"/>
    <x v="1"/>
  </r>
  <r>
    <n v="2020"/>
    <s v="March"/>
    <n v="148.6"/>
    <n v="5.85"/>
    <x v="1"/>
  </r>
  <r>
    <n v="2020"/>
    <s v="April"/>
    <n v="0"/>
    <m/>
    <x v="1"/>
  </r>
  <r>
    <n v="2020"/>
    <s v="May"/>
    <n v="0"/>
    <m/>
    <x v="1"/>
  </r>
  <r>
    <n v="2020"/>
    <s v="June"/>
    <n v="151.80000000000001"/>
    <n v="5.2799999999999994"/>
    <x v="1"/>
  </r>
  <r>
    <n v="2020"/>
    <s v="July"/>
    <n v="151.80000000000001"/>
    <n v="4.6899999999999995"/>
    <x v="1"/>
  </r>
  <r>
    <n v="2020"/>
    <s v="August"/>
    <n v="153.9"/>
    <n v="5.56"/>
    <x v="1"/>
  </r>
  <r>
    <n v="2020"/>
    <s v="September"/>
    <n v="154.69999999999999"/>
    <n v="5.0999999999999996"/>
    <x v="1"/>
  </r>
  <r>
    <n v="2020"/>
    <s v="October"/>
    <n v="156.4"/>
    <n v="5.25"/>
    <x v="1"/>
  </r>
  <r>
    <n v="2020"/>
    <s v="November"/>
    <n v="158.4"/>
    <n v="5.3199999999999994"/>
    <x v="1"/>
  </r>
  <r>
    <n v="2020"/>
    <s v="December"/>
    <n v="158.9"/>
    <n v="5.8"/>
    <x v="1"/>
  </r>
  <r>
    <n v="2021"/>
    <s v="January"/>
    <n v="157.30000000000001"/>
    <n v="5.5"/>
    <x v="1"/>
  </r>
  <r>
    <n v="2021"/>
    <s v="February"/>
    <n v="156.6"/>
    <n v="5.39"/>
    <x v="1"/>
  </r>
  <r>
    <n v="2021"/>
    <s v="March"/>
    <n v="156.80000000000001"/>
    <m/>
    <x v="1"/>
  </r>
  <r>
    <n v="2021"/>
    <s v="April"/>
    <n v="157.80000000000001"/>
    <m/>
    <x v="1"/>
  </r>
  <r>
    <n v="2021"/>
    <s v="May"/>
    <n v="160.4"/>
    <n v="5.67"/>
    <x v="1"/>
  </r>
  <r>
    <n v="2021"/>
    <s v="June"/>
    <n v="161.30000000000001"/>
    <n v="6.26"/>
    <x v="1"/>
  </r>
  <r>
    <n v="2021"/>
    <s v="July"/>
    <n v="162.5"/>
    <n v="5.59"/>
    <x v="1"/>
  </r>
  <r>
    <n v="2021"/>
    <s v="August"/>
    <n v="163.19999999999999"/>
    <n v="5.5"/>
    <x v="1"/>
  </r>
  <r>
    <n v="2021"/>
    <s v="September"/>
    <n v="163.19999999999999"/>
    <n v="4.3499999999999996"/>
    <x v="1"/>
  </r>
  <r>
    <n v="2021"/>
    <s v="October"/>
    <n v="165.5"/>
    <n v="4.49"/>
    <x v="1"/>
  </r>
  <r>
    <n v="2021"/>
    <s v="November"/>
    <n v="166.7"/>
    <n v="4.91"/>
    <x v="1"/>
  </r>
  <r>
    <n v="2021"/>
    <s v="December"/>
    <n v="166.2"/>
    <n v="5.66"/>
    <x v="1"/>
  </r>
  <r>
    <n v="2022"/>
    <s v="January"/>
    <n v="165.7"/>
    <n v="5.8199999999999994"/>
    <x v="1"/>
  </r>
  <r>
    <n v="2022"/>
    <s v="February"/>
    <n v="166.1"/>
    <n v="5.9399999999999995"/>
    <x v="1"/>
  </r>
  <r>
    <n v="2022"/>
    <s v="March"/>
    <n v="167.7"/>
    <n v="6.2799999999999994"/>
    <x v="1"/>
  </r>
  <r>
    <n v="2022"/>
    <s v="April"/>
    <n v="170.1"/>
    <n v="6.05"/>
    <x v="1"/>
  </r>
  <r>
    <n v="2022"/>
    <s v="May"/>
    <n v="171.7"/>
    <n v="6.45"/>
    <x v="1"/>
  </r>
  <r>
    <n v="2022"/>
    <s v="June"/>
    <n v="172.6"/>
    <n v="6.22"/>
    <x v="1"/>
  </r>
  <r>
    <n v="2022"/>
    <s v="July"/>
    <n v="173.4"/>
    <n v="6.26"/>
    <x v="1"/>
  </r>
  <r>
    <n v="2022"/>
    <s v="August"/>
    <n v="174.3"/>
    <n v="6.81"/>
    <x v="1"/>
  </r>
  <r>
    <n v="2022"/>
    <s v="September"/>
    <n v="175.3"/>
    <n v="5.93"/>
    <x v="1"/>
  </r>
  <r>
    <n v="2022"/>
    <s v="October"/>
    <n v="176.7"/>
    <n v="6"/>
    <x v="1"/>
  </r>
  <r>
    <n v="2022"/>
    <s v="November"/>
    <n v="176.5"/>
    <n v="6.2"/>
    <x v="1"/>
  </r>
  <r>
    <n v="2022"/>
    <s v="December"/>
    <n v="175.7"/>
    <n v="6.04"/>
    <x v="1"/>
  </r>
  <r>
    <n v="2023"/>
    <s v="January"/>
    <n v="176.5"/>
    <n v="6.27"/>
    <x v="1"/>
  </r>
  <r>
    <n v="2023"/>
    <s v="February"/>
    <n v="177.2"/>
    <n v="5.67"/>
    <x v="1"/>
  </r>
  <r>
    <n v="2023"/>
    <s v="March"/>
    <n v="177.2"/>
    <n v="4.18"/>
    <x v="1"/>
  </r>
  <r>
    <n v="2023"/>
    <s v="April"/>
    <n v="178.1"/>
    <n v="3.73"/>
    <x v="1"/>
  </r>
  <r>
    <n v="2023"/>
    <s v="May"/>
    <n v="179.1"/>
    <n v="3.769999999999999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15007-B7B5-4B31-A98D-85E1F93D78B7}" name="PivotTable12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eriod">
  <location ref="G1:H3" firstHeaderRow="1" firstDataRow="1" firstDataCol="1"/>
  <pivotFields count="5"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name="Average of (YoY Inflation %)" fld="3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E2AF6FB-B15F-4360-B4AF-4F3348A89101}" autoFormatId="16" applyNumberFormats="0" applyBorderFormats="0" applyFontFormats="0" applyPatternFormats="0" applyAlignmentFormats="0" applyWidthHeightFormats="0">
  <queryTableRefresh nextId="34" unboundColumnsRight="1">
    <queryTableFields count="3">
      <queryTableField id="31" name="Attribute" tableColumnId="31"/>
      <queryTableField id="32" name="Value" tableColumnId="32"/>
      <queryTableField id="33" dataBound="0" tableColumnId="3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A19CDB-942A-4242-823E-4A376C3A20D4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Year" tableColumnId="1"/>
      <queryTableField id="2" name="General index" tableColumnId="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F852303F-AD11-45E9-9AC4-F4390E2840E1}" autoFormatId="16" applyNumberFormats="0" applyBorderFormats="0" applyFontFormats="0" applyPatternFormats="0" applyAlignmentFormats="0" applyWidthHeightFormats="0">
  <queryTableRefresh nextId="42" unboundColumnsRight="1">
    <queryTableFields count="25">
      <queryTableField id="3" name="Month" tableColumnId="3"/>
      <queryTableField id="18" name="Cereals and products" tableColumnId="18"/>
      <queryTableField id="30" dataBound="0" tableColumnId="30"/>
      <queryTableField id="19" name="Meat and fish" tableColumnId="19"/>
      <queryTableField id="31" dataBound="0" tableColumnId="31"/>
      <queryTableField id="20" name="Egg" tableColumnId="20"/>
      <queryTableField id="32" dataBound="0" tableColumnId="32"/>
      <queryTableField id="21" name="Milk and products" tableColumnId="21"/>
      <queryTableField id="33" dataBound="0" tableColumnId="33"/>
      <queryTableField id="22" name="Oils and fats" tableColumnId="22"/>
      <queryTableField id="34" dataBound="0" tableColumnId="34"/>
      <queryTableField id="23" name="Fruits" tableColumnId="23"/>
      <queryTableField id="35" dataBound="0" tableColumnId="35"/>
      <queryTableField id="24" name="Vegetables" tableColumnId="24"/>
      <queryTableField id="36" dataBound="0" tableColumnId="36"/>
      <queryTableField id="25" name="Pulses and products" tableColumnId="25"/>
      <queryTableField id="37" dataBound="0" tableColumnId="1"/>
      <queryTableField id="26" name="Sugar and Confectionery" tableColumnId="26"/>
      <queryTableField id="38" dataBound="0" tableColumnId="2"/>
      <queryTableField id="27" name="Spices" tableColumnId="27"/>
      <queryTableField id="39" dataBound="0" tableColumnId="4"/>
      <queryTableField id="28" name="Non-alcoholic beverages" tableColumnId="28"/>
      <queryTableField id="40" dataBound="0" tableColumnId="5"/>
      <queryTableField id="29" name="Prepared meals, snacks, sweets etc." tableColumnId="29"/>
      <queryTableField id="41" dataBound="0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9213A04-7190-428D-8B1A-8F75B43F63DC}" autoFormatId="16" applyNumberFormats="0" applyBorderFormats="0" applyFontFormats="0" applyPatternFormats="0" applyAlignmentFormats="0" applyWidthHeightFormats="0">
  <queryTableRefresh nextId="7" unboundColumnsRight="2">
    <queryTableFields count="5">
      <queryTableField id="2" name="Year" tableColumnId="2"/>
      <queryTableField id="3" name="Month" tableColumnId="3"/>
      <queryTableField id="4" name="General index" tableColumnId="4"/>
      <queryTableField id="5" dataBound="0" tableColumnId="5"/>
      <queryTableField id="6" dataBound="0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9E9E476-299D-4F58-9287-300C04AB4B11}" autoFormatId="16" applyNumberFormats="0" applyBorderFormats="0" applyFontFormats="0" applyPatternFormats="0" applyAlignmentFormats="0" applyWidthHeightFormats="0">
  <queryTableRefresh nextId="8" unboundColumnsRight="2">
    <queryTableFields count="6">
      <queryTableField id="2" name="Year" tableColumnId="2"/>
      <queryTableField id="3" name="Month" tableColumnId="3"/>
      <queryTableField id="7" dataBound="0" tableColumnId="7"/>
      <queryTableField id="4" name="General index" tableColumnId="4"/>
      <queryTableField id="5" dataBound="0" tableColumnId="5"/>
      <queryTableField id="6" dataBound="0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6E035DD-1DD2-4777-8F1B-4B4863800A5F}" autoFormatId="16" applyNumberFormats="0" applyBorderFormats="0" applyFontFormats="0" applyPatternFormats="0" applyAlignmentFormats="0" applyWidthHeightFormats="0">
  <queryTableRefresh nextId="9" unboundColumnsRight="1">
    <queryTableFields count="4">
      <queryTableField id="1" name="Year" tableColumnId="1"/>
      <queryTableField id="2" name="Month" tableColumnId="2"/>
      <queryTableField id="3" name="Fuel and light" tableColumnId="3"/>
      <queryTableField id="8" dataBound="0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4233CEE-1278-488B-8F6C-E549101CA032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Year" tableColumnId="1"/>
      <queryTableField id="2" name="Month" tableColumnId="2"/>
      <queryTableField id="3" name="Food and beverages" tableColumnId="3"/>
      <queryTableField id="9" dataBound="0" tableColumnId="9"/>
      <queryTableField id="4" name="Clothing and footwear" tableColumnId="4"/>
      <queryTableField id="10" dataBound="0" tableColumnId="10"/>
      <queryTableField id="5" name="Fuel and light" tableColumnId="5"/>
      <queryTableField id="11" dataBound="0" tableColumnId="11"/>
      <queryTableField id="6" name="Household goods and services" tableColumnId="6"/>
      <queryTableField id="12" dataBound="0" tableColumnId="12"/>
      <queryTableField id="7" name="Transport and communication" tableColumnId="7"/>
      <queryTableField id="13" dataBound="0" tableColumnId="13"/>
      <queryTableField id="8" name="General index" tableColumnId="8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3D907-1A0F-4B4A-B700-12A90AE0EAC2}" name="All_India_Index_Upto_April23__1" displayName="All_India_Index_Upto_April23__1" ref="A1:C18" tableType="queryTable" totalsRowCount="1">
  <tableColumns count="3">
    <tableColumn id="31" xr3:uid="{F34485EE-F4C3-446F-B97D-99CD783804C4}" uniqueName="31" name="Attribute" totalsRowLabel="Total of all Indices(Upto Misc)" queryTableFieldId="31" dataDxfId="34" totalsRowDxfId="33"/>
    <tableColumn id="32" xr3:uid="{08D6E535-E2BF-42D6-8ACE-14B6CBC9A5F4}" uniqueName="32" name="Value" totalsRowFunction="custom" queryTableFieldId="32">
      <totalsRowFormula>SUM(B5:B16)</totalsRowFormula>
    </tableColumn>
    <tableColumn id="33" xr3:uid="{B38B89C9-4E92-4CB8-BFB8-A49D592EDF71}" uniqueName="33" name="Higest_Contribution in %" queryTableFieldId="33" dataDxfId="32">
      <calculatedColumnFormula>B2/$B$18*100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80FE41-FDDA-4BE2-BEC5-BA9550415D38}" name="RAW_All_India_Index_Upto_Apr" displayName="RAW_All_India_Index_Upto_Apr" ref="A1:C9" tableType="queryTable" totalsRowShown="0">
  <tableColumns count="3">
    <tableColumn id="1" xr3:uid="{15B4C314-558A-456F-AD16-3560978C71B2}" uniqueName="1" name="Year" queryTableFieldId="1"/>
    <tableColumn id="2" xr3:uid="{CBC37993-802B-46CC-9ED8-CF54B87898A3}" uniqueName="2" name="General index" queryTableFieldId="2"/>
    <tableColumn id="3" xr3:uid="{65DD1B6B-4AF8-4B6D-A40C-F25A25150C0E}" uniqueName="3" name="YoY Inflation %" queryTableFieldId="3" dataDxfId="31">
      <calculatedColumnFormula>(B2-B1)/B1*100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8DD773-4B8E-4729-8A37-D47306F78BAB}" name="Cereals_and_products" displayName="Cereals_and_products" ref="A3:Y15" tableType="queryTable" totalsRowShown="0">
  <autoFilter ref="A3:Y15" xr:uid="{3E8DD773-4B8E-4729-8A37-D47306F78BAB}"/>
  <tableColumns count="25">
    <tableColumn id="3" xr3:uid="{B23F8859-BC81-447F-B44F-957B46AB61C8}" uniqueName="3" name="Month" queryTableFieldId="3" dataDxfId="30"/>
    <tableColumn id="18" xr3:uid="{F63917BB-15CD-4CE3-B16F-DF44357CAD96}" uniqueName="18" name="Cereals and products" queryTableFieldId="18"/>
    <tableColumn id="30" xr3:uid="{E6AC3A55-3FD0-4E59-A3C7-912DCB47E6FC}" uniqueName="30" name="MoM Inflation %" queryTableFieldId="30" dataDxfId="29">
      <calculatedColumnFormula>ROUNDUP((B4-B3)/B3*100,2)</calculatedColumnFormula>
    </tableColumn>
    <tableColumn id="19" xr3:uid="{1BA1F455-90D3-42CA-AAD5-F9BBCC0808F4}" uniqueName="19" name="Meat and fish" queryTableFieldId="19"/>
    <tableColumn id="31" xr3:uid="{C2BDCA47-8497-43FC-B129-B21DFA913F52}" uniqueName="31" name="MoM Inflation %2" queryTableFieldId="31" dataDxfId="28">
      <calculatedColumnFormula>ROUNDUP((D4-D3)/D3*100,2)</calculatedColumnFormula>
    </tableColumn>
    <tableColumn id="20" xr3:uid="{7B024F8E-0EF1-4044-8EFA-2AF583D7A9FA}" uniqueName="20" name="Egg" queryTableFieldId="20"/>
    <tableColumn id="32" xr3:uid="{D93DFBBA-83E2-4DCE-AB61-E9D9AE519B4E}" uniqueName="32" name="MoM Inflation %3" queryTableFieldId="32"/>
    <tableColumn id="21" xr3:uid="{F6F9D18E-FEE8-4B42-8E12-C63F34CACD87}" uniqueName="21" name="Milk and products" queryTableFieldId="21"/>
    <tableColumn id="33" xr3:uid="{6BAFDDCB-5225-48AC-A430-642A7634B684}" uniqueName="33" name="MoM Inflation %4" queryTableFieldId="33"/>
    <tableColumn id="22" xr3:uid="{0F7A4A8D-AFEC-4E4C-85A8-E5B588588E73}" uniqueName="22" name="Oils and fats" queryTableFieldId="22"/>
    <tableColumn id="34" xr3:uid="{3A04BB3E-50B9-4A2D-884C-7E9F2A5B4B00}" uniqueName="34" name="MoM Inflation %5" queryTableFieldId="34"/>
    <tableColumn id="23" xr3:uid="{0CAB2DE5-A099-4815-AB7F-B075A01A3658}" uniqueName="23" name="Fruits" queryTableFieldId="23"/>
    <tableColumn id="35" xr3:uid="{AD5803CE-CDCA-4679-BAA0-EF7FFBF55226}" uniqueName="35" name="MoM Inflation %6" queryTableFieldId="35"/>
    <tableColumn id="24" xr3:uid="{A0EBB98D-564C-40B3-B8C2-534B0471DEDF}" uniqueName="24" name="Vegetables" queryTableFieldId="24"/>
    <tableColumn id="36" xr3:uid="{FA67EF99-03D3-45F6-885E-42A57CDCA191}" uniqueName="36" name="MoM Inflation %7" queryTableFieldId="36"/>
    <tableColumn id="25" xr3:uid="{36D06C28-AC5F-4BAB-8E33-D1FAB271D8AF}" uniqueName="25" name="Pulses and products" queryTableFieldId="25"/>
    <tableColumn id="1" xr3:uid="{666C3DB8-FF0F-4215-A322-63AA351958D7}" uniqueName="1" name="MoM Inflation %8" queryTableFieldId="37"/>
    <tableColumn id="26" xr3:uid="{C1915ADC-1858-4793-9394-71A9067774F0}" uniqueName="26" name="Sugar and Confectionery" queryTableFieldId="26"/>
    <tableColumn id="2" xr3:uid="{1480A172-1FA4-4F6A-BB51-27A72DE8B9F3}" uniqueName="2" name="MoM Inflation %9" queryTableFieldId="38"/>
    <tableColumn id="27" xr3:uid="{647D0BCF-3234-4850-AAB6-33FA8C308CAE}" uniqueName="27" name="Spices" queryTableFieldId="27"/>
    <tableColumn id="4" xr3:uid="{56974BA8-D81A-407B-9511-20EA8C7FB4BA}" uniqueName="4" name="MoM Inflation %10" queryTableFieldId="39"/>
    <tableColumn id="28" xr3:uid="{BDEF9B4E-3741-4927-89C3-1AEF5C0E9E1D}" uniqueName="28" name="Non-alcoholic beverages" queryTableFieldId="28"/>
    <tableColumn id="5" xr3:uid="{492E42F6-886F-4F2E-BBF2-335E27FA6C2F}" uniqueName="5" name="MoM Inflation %11" queryTableFieldId="40"/>
    <tableColumn id="29" xr3:uid="{63284260-C784-4E71-ACB2-D33B055D50A4}" uniqueName="29" name="Prepared meals, snacks, sweets etc." queryTableFieldId="29"/>
    <tableColumn id="6" xr3:uid="{BC45BB1F-FC9A-44EB-A482-19914B192419}" uniqueName="6" name="MoM Inflation %12" queryTableFieldId="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23A4D8-9486-4AA5-AF00-E93C1D3B78BB}" name="Table6" displayName="Table6" ref="A18:C30" totalsRowShown="0">
  <autoFilter ref="A18:C30" xr:uid="{4823A4D8-9486-4AA5-AF00-E93C1D3B78BB}"/>
  <tableColumns count="3">
    <tableColumn id="1" xr3:uid="{A1E24653-223C-4B53-B834-DA3226FE755E}" name="Month"/>
    <tableColumn id="2" xr3:uid="{FD57DB0D-1E05-49FE-9436-A457E3096B0D}" name="Monthly Indices" dataDxfId="27">
      <calculatedColumnFormula>B4+D4+F4+H4+J4+L4+N4+P4+R4+T4+V4+X4</calculatedColumnFormula>
    </tableColumn>
    <tableColumn id="6" xr3:uid="{8C5E8DF9-5307-4079-9642-0C3CAA126CF6}" name="MoM Inflatio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3F9E68-5B31-44D0-9999-4E101F11D6B6}" name="Table7" displayName="Table7" ref="A34:B46" totalsRowShown="0">
  <autoFilter ref="A34:B46" xr:uid="{383F9E68-5B31-44D0-9999-4E101F11D6B6}"/>
  <tableColumns count="2">
    <tableColumn id="1" xr3:uid="{085B3EF3-B7FC-4725-9187-4B1B7262A12E}" name="Sub-Category"/>
    <tableColumn id="2" xr3:uid="{57A3E630-7AF3-4FC2-AEDD-ED7678ED19D0}" name="Abs_Change in Inflation" dataDxfId="26">
      <calculatedColumnFormula>B15-B4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D8DBC1-C5D9-4A1B-8D2D-281B6A00AD94}" name="RAW_All_India_Index_Upto_Apr__2" displayName="RAW_All_India_Index_Upto_Apr__2" ref="A1:E53" tableType="queryTable" totalsRowShown="0" dataDxfId="25">
  <autoFilter ref="A1:E53" xr:uid="{4FD8DBC1-C5D9-4A1B-8D2D-281B6A00AD94}"/>
  <tableColumns count="5">
    <tableColumn id="2" xr3:uid="{BD33A4B0-61F5-43D4-A46D-CA46153DF7D2}" uniqueName="2" name="Year" queryTableFieldId="2" dataDxfId="24"/>
    <tableColumn id="3" xr3:uid="{33F1DF27-C8CA-44DE-AD9C-91A35D0F9EDB}" uniqueName="3" name="Month" queryTableFieldId="3" dataDxfId="23"/>
    <tableColumn id="4" xr3:uid="{B1636F1A-8B20-423A-8BBB-513EB3B129F2}" uniqueName="4" name="General index" queryTableFieldId="4" dataDxfId="22"/>
    <tableColumn id="5" xr3:uid="{19D8793C-BD19-4EE3-8464-AA6F9B0CBFD0}" uniqueName="5" name="(YoY Inflation %)" queryTableFieldId="5" dataDxfId="0">
      <calculatedColumnFormula>IFERROR(ROUNDUP(((C13-C2)/C2)*100,2),"NA")</calculatedColumnFormula>
    </tableColumn>
    <tableColumn id="6" xr3:uid="{FE408CB2-AC80-42CC-8343-A515C7E39D57}" uniqueName="6" name="Period" queryTableFieldId="6" dataDxfId="21">
      <calculatedColumnFormula>IF(AND(A2=2020,B2="March"),"Post-COVID",IF(A2&lt;2020, "Pre-COVID", "Post-COVID"))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EDABD1D-80BC-4F2F-87E4-EEFA6786A386}" name="RAW_All_India_Index_Upto_Apr__212" displayName="RAW_All_India_Index_Upto_Apr__212" ref="A1:F53" tableType="queryTable" totalsRowShown="0" dataDxfId="20">
  <autoFilter ref="A1:F53" xr:uid="{8EDABD1D-80BC-4F2F-87E4-EEFA6786A386}"/>
  <tableColumns count="6">
    <tableColumn id="2" xr3:uid="{AD68D3AC-7B2A-43D7-8C98-17D64BD53149}" uniqueName="2" name="Year" queryTableFieldId="2" dataDxfId="19"/>
    <tableColumn id="3" xr3:uid="{B14B0A51-DEBD-4A84-85B6-5C811D4DAF67}" uniqueName="3" name="Month" queryTableFieldId="3" dataDxfId="18"/>
    <tableColumn id="7" xr3:uid="{7E3208B6-DF2A-4B76-B84A-2FE73B0EB24C}" uniqueName="7" name="Month-Year" queryTableFieldId="7" dataDxfId="17">
      <calculatedColumnFormula>TEXT(DATE(A2,MONTH(1&amp;B2),1),"mmm-yyyy")</calculatedColumnFormula>
    </tableColumn>
    <tableColumn id="4" xr3:uid="{BEF29826-1F36-427F-9B48-4C4EBEED24A1}" uniqueName="4" name="General index" queryTableFieldId="4" dataDxfId="16"/>
    <tableColumn id="5" xr3:uid="{2E4A631C-099A-49E0-9D18-26D048DBA949}" uniqueName="5" name="(YoY Inflation %)" queryTableFieldId="5" dataDxfId="15">
      <calculatedColumnFormula>IFERROR(ROUNDUP(((D13-D2)/D2)*100,2),"Zero Divide")</calculatedColumnFormula>
    </tableColumn>
    <tableColumn id="6" xr3:uid="{6C9DE034-882F-4ADA-A56F-52DA5B24CA0D}" uniqueName="6" name="Period" queryTableFieldId="6" dataDxfId="14">
      <calculatedColumnFormula>IF(AND(A2=2020,B2="March"),"Post-COVID",IF(A2&lt;2020, "Pre-COVID", "Post-COVID"))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FC8FCC-E964-4672-97BF-851389F8EE5D}" name="RAW_All_India_Index_Upto_Apr__4" displayName="RAW_All_India_Index_Upto_Apr__4" ref="A1:D31" tableType="queryTable" totalsRowShown="0">
  <autoFilter ref="A1:D31" xr:uid="{B5FC8FCC-E964-4672-97BF-851389F8EE5D}"/>
  <tableColumns count="4">
    <tableColumn id="1" xr3:uid="{72D5B981-CD58-46F5-AFEE-234F9307CE06}" uniqueName="1" name="Year" queryTableFieldId="1"/>
    <tableColumn id="2" xr3:uid="{473D06FC-A988-4008-B835-B7B804742A71}" uniqueName="2" name="Month" queryTableFieldId="2" dataDxfId="13"/>
    <tableColumn id="3" xr3:uid="{6B966C1F-2CED-449A-A063-C30606F5D56D}" uniqueName="3" name="Fuel and light" queryTableFieldId="3"/>
    <tableColumn id="7" xr3:uid="{189A9852-41FA-4498-B894-F0782FE28C76}" uniqueName="7" name="% Change Oil" queryTableFieldId="8" dataDxfId="12">
      <calculatedColumnFormula>IFERROR(ROUNDUP((C2-C1)/C1*100,2),"Zero Divide")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570AB4-3C7E-4BC8-9B94-17679AA78FC8}" name="RAW_All_India_Index_Upto_Apr__5" displayName="RAW_All_India_Index_Upto_Apr__5" ref="A1:N31" tableType="queryTable" totalsRowShown="0">
  <autoFilter ref="A1:N31" xr:uid="{1E570AB4-3C7E-4BC8-9B94-17679AA78FC8}"/>
  <tableColumns count="14">
    <tableColumn id="1" xr3:uid="{55CAD477-094B-4DCB-BB86-ACE2F84520A7}" uniqueName="1" name="Year" queryTableFieldId="1"/>
    <tableColumn id="2" xr3:uid="{3847F325-2536-42DA-BCAD-B8F00A953583}" uniqueName="2" name="Month" queryTableFieldId="2" dataDxfId="11"/>
    <tableColumn id="3" xr3:uid="{FB7A5FEF-2CF5-4A9E-A4D2-432E4515CE78}" uniqueName="3" name="Food and beverages" queryTableFieldId="3"/>
    <tableColumn id="9" xr3:uid="{A732652F-FB69-48E6-A75A-4201A0DE6ED7}" uniqueName="9" name="MoM % Change (Food)" queryTableFieldId="9" dataDxfId="10">
      <calculatedColumnFormula>IFERROR(ROUNDUP((C2-C1)/C1*100,2),"Zero Divide")</calculatedColumnFormula>
    </tableColumn>
    <tableColumn id="4" xr3:uid="{3C6FC191-2536-4DFA-8F50-2C745849EC0A}" uniqueName="4" name="Clothing and footwear" queryTableFieldId="4"/>
    <tableColumn id="10" xr3:uid="{179110F3-1986-4BAA-B9E7-94A17D83FBFC}" uniqueName="10" name="MoM % Change (Clothing)" queryTableFieldId="10" dataDxfId="9">
      <calculatedColumnFormula>IFERROR(ROUNDUP((E2-E1)/E1*100,2),"Zero Divide")</calculatedColumnFormula>
    </tableColumn>
    <tableColumn id="5" xr3:uid="{2F2BBC65-EBBC-418E-92B6-9B5DD2CAE959}" uniqueName="5" name="Fuel and light" queryTableFieldId="5"/>
    <tableColumn id="11" xr3:uid="{030C847A-75C4-4202-BB44-FF75F24B3BA1}" uniqueName="11" name="MoM % Change (Fuel)" queryTableFieldId="11" dataDxfId="8">
      <calculatedColumnFormula>IFERROR(ROUNDUP((G2-G1)/G1*100,2),"Zero Divide")</calculatedColumnFormula>
    </tableColumn>
    <tableColumn id="6" xr3:uid="{0BCCA1C9-B6F5-4D76-9D23-6FCE96BB2979}" uniqueName="6" name="Household goods and services" queryTableFieldId="6"/>
    <tableColumn id="12" xr3:uid="{8EC59EE5-BE19-4C26-8F04-7C25D1745199}" uniqueName="12" name="MoM % Change (Household)" queryTableFieldId="12" dataDxfId="7">
      <calculatedColumnFormula>IFERROR(ROUNDUP((I2-I1)/I1*100,2),"Zero Divide")</calculatedColumnFormula>
    </tableColumn>
    <tableColumn id="7" xr3:uid="{84A582C0-D799-4926-888D-0C6D4054D884}" uniqueName="7" name="Transport and communication" queryTableFieldId="7"/>
    <tableColumn id="13" xr3:uid="{2ABB27C3-5675-4706-9AA8-854A637494DF}" uniqueName="13" name="MoM % Change (Transport)" queryTableFieldId="13" dataDxfId="6">
      <calculatedColumnFormula>IFERROR(ROUNDUP((K2-K1)/K1*100,2),"Zero Divide")</calculatedColumnFormula>
    </tableColumn>
    <tableColumn id="8" xr3:uid="{80850305-F9EF-4AF5-9FF6-BD925C741018}" uniqueName="8" name="General index" queryTableFieldId="8"/>
    <tableColumn id="14" xr3:uid="{ABF4EEA4-A557-42B8-86EA-CD409A16FCE6}" uniqueName="14" name="General CPI %" queryTableFieldId="14" dataDxfId="5">
      <calculatedColumnFormula>IFERROR(ROUNDUP((M2-M1)/M1*100,2),"Zero Divide")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7B7BDA5-8D07-403B-9979-4EC1BB910D77}" name="Table9" displayName="Table9" ref="A35:G36" totalsRowShown="0">
  <autoFilter ref="A35:G36" xr:uid="{47B7BDA5-8D07-403B-9979-4EC1BB910D77}"/>
  <tableColumns count="7">
    <tableColumn id="1" xr3:uid="{3837D206-C754-47F4-A4DD-D76B8958F3D7}" name="Category"/>
    <tableColumn id="10" xr3:uid="{A02D2EED-4118-4DED-A9DD-351A5917BD8B}" name="Food">
      <calculatedColumnFormula>CORREL(H3:H31,D3:D31)</calculatedColumnFormula>
    </tableColumn>
    <tableColumn id="11" xr3:uid="{6129B7F7-5E51-4AA9-8B52-782E20D21D25}" name="Clothing">
      <calculatedColumnFormula>CORREL(H3:H31,F3:F31)</calculatedColumnFormula>
    </tableColumn>
    <tableColumn id="12" xr3:uid="{7DCF79C8-7F13-4277-B2B7-C19149C3E84C}" name="Fuel">
      <calculatedColumnFormula>CORREL(H3:H31,H3:H31)</calculatedColumnFormula>
    </tableColumn>
    <tableColumn id="13" xr3:uid="{A975B618-BADF-46C4-8F22-4477BCEB2896}" name="Household">
      <calculatedColumnFormula>CORREL(H3:H31,J3:J31)</calculatedColumnFormula>
    </tableColumn>
    <tableColumn id="14" xr3:uid="{22B9115F-5C5C-4C8F-8EA9-04519B028BB5}" name="Transport">
      <calculatedColumnFormula>CORREL(H3:H31,L3:L31)</calculatedColumnFormula>
    </tableColumn>
    <tableColumn id="15" xr3:uid="{E4A157C2-810C-4DA8-AE1B-A9C483EA6D42}" name="General CPI">
      <calculatedColumnFormula>CORREL(H3:H31,N3:N31)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9E20-C454-4EB2-BFE0-7410353E71A4}">
  <dimension ref="A1:AD373"/>
  <sheetViews>
    <sheetView workbookViewId="0">
      <selection sqref="A1:XFD16"/>
    </sheetView>
  </sheetViews>
  <sheetFormatPr defaultRowHeight="14.5" x14ac:dyDescent="0.35"/>
  <cols>
    <col min="1" max="1" width="10.90625" bestFit="1" customWidth="1"/>
    <col min="2" max="2" width="6.7265625" bestFit="1" customWidth="1"/>
    <col min="3" max="3" width="9.6328125" bestFit="1" customWidth="1"/>
    <col min="4" max="4" width="18.1796875" bestFit="1" customWidth="1"/>
    <col min="5" max="5" width="11.54296875" bestFit="1" customWidth="1"/>
    <col min="6" max="6" width="5.81640625" bestFit="1" customWidth="1"/>
    <col min="7" max="7" width="15.08984375" bestFit="1" customWidth="1"/>
    <col min="8" max="8" width="10.81640625" bestFit="1" customWidth="1"/>
    <col min="9" max="9" width="5.81640625" bestFit="1" customWidth="1"/>
    <col min="10" max="10" width="9.81640625" bestFit="1" customWidth="1"/>
    <col min="11" max="11" width="17.26953125" bestFit="1" customWidth="1"/>
    <col min="12" max="12" width="20.6328125" bestFit="1" customWidth="1"/>
    <col min="13" max="13" width="6.1796875" bestFit="1" customWidth="1"/>
    <col min="14" max="14" width="20.90625" bestFit="1" customWidth="1"/>
    <col min="15" max="15" width="30.7265625" bestFit="1" customWidth="1"/>
    <col min="16" max="16" width="17" bestFit="1" customWidth="1"/>
    <col min="17" max="17" width="24.36328125" bestFit="1" customWidth="1"/>
    <col min="18" max="18" width="7.54296875" bestFit="1" customWidth="1"/>
    <col min="19" max="19" width="8.36328125" bestFit="1" customWidth="1"/>
    <col min="20" max="20" width="18.54296875" bestFit="1" customWidth="1"/>
    <col min="21" max="21" width="7.36328125" bestFit="1" customWidth="1"/>
    <col min="22" max="22" width="11.453125" bestFit="1" customWidth="1"/>
    <col min="23" max="23" width="25.453125" bestFit="1" customWidth="1"/>
    <col min="24" max="24" width="6.1796875" bestFit="1" customWidth="1"/>
    <col min="25" max="25" width="25.26953125" bestFit="1" customWidth="1"/>
    <col min="26" max="26" width="23.26953125" bestFit="1" customWidth="1"/>
    <col min="27" max="27" width="8.90625" bestFit="1" customWidth="1"/>
    <col min="28" max="28" width="21.54296875" bestFit="1" customWidth="1"/>
    <col min="29" max="29" width="12.453125" bestFit="1" customWidth="1"/>
    <col min="30" max="30" width="17.7265625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5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5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5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5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5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5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5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5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5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5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5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5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5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5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5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5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5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5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5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5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5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5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5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5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5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5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5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5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5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5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5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5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5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5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5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5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5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5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5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5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5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5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5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5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5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5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5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5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5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5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5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5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5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5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5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5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5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5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5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5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5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5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5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5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5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5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5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5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5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5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5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5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5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5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5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5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5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5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5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5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5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5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5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5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5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5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5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5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5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5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5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5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5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5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5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5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5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5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5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5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5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5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5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5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5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5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5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5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5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5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5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5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5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5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5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5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5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5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5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5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5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5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5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5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5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5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5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5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5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5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5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5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5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5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5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5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5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5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5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5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5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5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5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5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5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5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5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5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5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5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5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5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5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5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5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5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5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5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5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5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5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5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5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5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5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5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5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5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5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5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5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5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5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5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5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5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5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5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5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5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5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5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5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5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5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5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5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5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5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5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5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5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5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5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5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5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5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5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5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5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5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5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5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5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5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5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5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5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5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5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5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5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5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5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5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5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5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5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5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5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5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35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35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35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35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35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35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5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5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5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5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5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5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5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5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5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5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5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5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5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5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5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5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5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5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5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5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5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5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5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5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5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5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5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5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5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5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5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5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5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5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5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5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5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5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5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5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5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5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5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5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5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5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5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5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5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5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5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5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5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5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5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5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5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5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5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5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5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5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5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5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5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5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5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5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5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5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5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5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5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5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5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5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5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5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5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5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5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5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5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5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5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5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5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5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5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5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5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5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5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5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5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5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5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5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5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5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5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autoFilter ref="A1:AD373" xr:uid="{E4B39E20-C454-4EB2-BFE0-7410353E71A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205E-4CCC-4166-A1BF-D4E06FA4DCAA}">
  <dimension ref="A1:C18"/>
  <sheetViews>
    <sheetView workbookViewId="0">
      <selection activeCell="C5" sqref="C5"/>
    </sheetView>
  </sheetViews>
  <sheetFormatPr defaultRowHeight="14.5" x14ac:dyDescent="0.35"/>
  <cols>
    <col min="1" max="1" width="26" customWidth="1"/>
    <col min="2" max="2" width="12.36328125" customWidth="1"/>
    <col min="3" max="3" width="21.7265625" bestFit="1" customWidth="1"/>
    <col min="4" max="4" width="6.81640625" bestFit="1" customWidth="1"/>
    <col min="5" max="5" width="8.36328125" bestFit="1" customWidth="1"/>
    <col min="6" max="6" width="21" bestFit="1" customWidth="1"/>
    <col min="7" max="7" width="14.26953125" bestFit="1" customWidth="1"/>
    <col min="8" max="8" width="5.90625" bestFit="1" customWidth="1"/>
    <col min="9" max="9" width="18.08984375" bestFit="1" customWidth="1"/>
    <col min="10" max="10" width="13.453125" bestFit="1" customWidth="1"/>
    <col min="11" max="11" width="7.90625" bestFit="1" customWidth="1"/>
    <col min="12" max="12" width="12.26953125" bestFit="1" customWidth="1"/>
    <col min="13" max="13" width="20.1796875" bestFit="1" customWidth="1"/>
    <col min="14" max="14" width="23.81640625" bestFit="1" customWidth="1"/>
    <col min="16" max="16" width="23.90625" bestFit="1" customWidth="1"/>
    <col min="17" max="17" width="33.6328125" bestFit="1" customWidth="1"/>
    <col min="18" max="18" width="19.7265625" bestFit="1" customWidth="1"/>
    <col min="19" max="19" width="27.54296875" bestFit="1" customWidth="1"/>
    <col min="20" max="20" width="10.1796875" bestFit="1" customWidth="1"/>
    <col min="21" max="21" width="10.7265625" bestFit="1" customWidth="1"/>
    <col min="22" max="22" width="21.54296875" bestFit="1" customWidth="1"/>
    <col min="23" max="23" width="9.90625" bestFit="1" customWidth="1"/>
    <col min="24" max="24" width="14.36328125" bestFit="1" customWidth="1"/>
    <col min="25" max="25" width="28.54296875" bestFit="1" customWidth="1"/>
    <col min="26" max="26" width="8.6328125" bestFit="1" customWidth="1"/>
    <col min="27" max="27" width="28.54296875" bestFit="1" customWidth="1"/>
    <col min="28" max="28" width="26.36328125" bestFit="1" customWidth="1"/>
    <col min="29" max="29" width="11.54296875" bestFit="1" customWidth="1"/>
    <col min="30" max="30" width="24.36328125" bestFit="1" customWidth="1"/>
    <col min="31" max="31" width="15.26953125" bestFit="1" customWidth="1"/>
    <col min="32" max="32" width="14.6328125" bestFit="1" customWidth="1"/>
  </cols>
  <sheetData>
    <row r="1" spans="1:3" x14ac:dyDescent="0.35">
      <c r="A1" t="s">
        <v>49</v>
      </c>
      <c r="B1" t="s">
        <v>50</v>
      </c>
      <c r="C1" t="s">
        <v>52</v>
      </c>
    </row>
    <row r="2" spans="1:3" x14ac:dyDescent="0.35">
      <c r="A2" t="s">
        <v>0</v>
      </c>
      <c r="B2" t="s">
        <v>34</v>
      </c>
      <c r="C2" s="2"/>
    </row>
    <row r="3" spans="1:3" x14ac:dyDescent="0.35">
      <c r="A3" t="s">
        <v>1</v>
      </c>
      <c r="B3">
        <v>2023</v>
      </c>
      <c r="C3" s="2"/>
    </row>
    <row r="4" spans="1:3" x14ac:dyDescent="0.35">
      <c r="A4" t="s">
        <v>2</v>
      </c>
      <c r="B4" t="s">
        <v>38</v>
      </c>
      <c r="C4" s="2"/>
    </row>
    <row r="5" spans="1:3" x14ac:dyDescent="0.35">
      <c r="A5" t="s">
        <v>15</v>
      </c>
      <c r="B5">
        <v>179.1</v>
      </c>
      <c r="C5" s="2">
        <f t="shared" ref="C5:C16" si="0">B5/$B$18*100</f>
        <v>8.2932024448972026</v>
      </c>
    </row>
    <row r="6" spans="1:3" x14ac:dyDescent="0.35">
      <c r="A6" t="s">
        <v>16</v>
      </c>
      <c r="B6">
        <v>201</v>
      </c>
      <c r="C6" s="2">
        <f t="shared" si="0"/>
        <v>9.3072791257640315</v>
      </c>
    </row>
    <row r="7" spans="1:3" x14ac:dyDescent="0.35">
      <c r="A7" t="s">
        <v>19</v>
      </c>
      <c r="B7">
        <v>186.2</v>
      </c>
      <c r="C7" s="2">
        <f t="shared" si="0"/>
        <v>8.6219670309316534</v>
      </c>
    </row>
    <row r="8" spans="1:3" x14ac:dyDescent="0.35">
      <c r="A8" t="s">
        <v>20</v>
      </c>
      <c r="B8">
        <v>175.6</v>
      </c>
      <c r="C8" s="2">
        <f t="shared" si="0"/>
        <v>8.1311353954436001</v>
      </c>
    </row>
    <row r="9" spans="1:3" x14ac:dyDescent="0.35">
      <c r="A9" t="s">
        <v>21</v>
      </c>
      <c r="B9">
        <v>182.8</v>
      </c>
      <c r="C9" s="2">
        <f t="shared" si="0"/>
        <v>8.4645304686052985</v>
      </c>
    </row>
    <row r="10" spans="1:3" x14ac:dyDescent="0.35">
      <c r="A10" t="s">
        <v>22</v>
      </c>
      <c r="B10">
        <v>175.2</v>
      </c>
      <c r="C10" s="2">
        <f t="shared" si="0"/>
        <v>8.1126134469346169</v>
      </c>
    </row>
    <row r="11" spans="1:3" x14ac:dyDescent="0.35">
      <c r="A11" t="s">
        <v>23</v>
      </c>
      <c r="B11">
        <v>185.7</v>
      </c>
      <c r="C11" s="2">
        <f t="shared" si="0"/>
        <v>8.5988145952954245</v>
      </c>
    </row>
    <row r="12" spans="1:3" x14ac:dyDescent="0.35">
      <c r="A12" t="s">
        <v>24</v>
      </c>
      <c r="B12">
        <v>164.8</v>
      </c>
      <c r="C12" s="2">
        <f t="shared" si="0"/>
        <v>7.6310427857010561</v>
      </c>
    </row>
    <row r="13" spans="1:3" x14ac:dyDescent="0.35">
      <c r="A13" t="s">
        <v>25</v>
      </c>
      <c r="B13">
        <v>171.2</v>
      </c>
      <c r="C13" s="2">
        <f t="shared" si="0"/>
        <v>7.9273939618447864</v>
      </c>
    </row>
    <row r="14" spans="1:3" x14ac:dyDescent="0.35">
      <c r="A14" t="s">
        <v>26</v>
      </c>
      <c r="B14">
        <v>177.1</v>
      </c>
      <c r="C14" s="2">
        <f t="shared" si="0"/>
        <v>8.2005927023522869</v>
      </c>
    </row>
    <row r="15" spans="1:3" x14ac:dyDescent="0.35">
      <c r="A15" t="s">
        <v>27</v>
      </c>
      <c r="B15">
        <v>185.2</v>
      </c>
      <c r="C15" s="2">
        <f t="shared" si="0"/>
        <v>8.5756621596591955</v>
      </c>
    </row>
    <row r="16" spans="1:3" x14ac:dyDescent="0.35">
      <c r="A16" t="s">
        <v>28</v>
      </c>
      <c r="B16">
        <v>175.7</v>
      </c>
      <c r="C16" s="2">
        <f t="shared" si="0"/>
        <v>8.1357658825708459</v>
      </c>
    </row>
    <row r="17" spans="1:3" x14ac:dyDescent="0.35">
      <c r="A17" t="s">
        <v>29</v>
      </c>
      <c r="B17">
        <v>179.1</v>
      </c>
      <c r="C17" s="2"/>
    </row>
    <row r="18" spans="1:3" x14ac:dyDescent="0.35">
      <c r="A18" t="s">
        <v>51</v>
      </c>
      <c r="B18">
        <f>SUM(B5:B16)</f>
        <v>2159.6</v>
      </c>
    </row>
  </sheetData>
  <conditionalFormatting sqref="C5:C16">
    <cfRule type="top10" dxfId="4" priority="1" rank="1"/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96E7-A061-4011-9590-94D1889A7999}">
  <dimension ref="A1:C13"/>
  <sheetViews>
    <sheetView workbookViewId="0">
      <selection activeCell="C3" sqref="C3"/>
    </sheetView>
  </sheetViews>
  <sheetFormatPr defaultRowHeight="14.5" x14ac:dyDescent="0.35"/>
  <cols>
    <col min="1" max="1" width="12.36328125" customWidth="1"/>
    <col min="2" max="2" width="14.81640625" customWidth="1"/>
    <col min="3" max="3" width="11.453125" bestFit="1" customWidth="1"/>
  </cols>
  <sheetData>
    <row r="1" spans="1:3" x14ac:dyDescent="0.35">
      <c r="A1" t="s">
        <v>1</v>
      </c>
      <c r="B1" t="s">
        <v>29</v>
      </c>
      <c r="C1" t="s">
        <v>53</v>
      </c>
    </row>
    <row r="2" spans="1:3" x14ac:dyDescent="0.35">
      <c r="A2">
        <v>2016</v>
      </c>
      <c r="B2">
        <v>128.6</v>
      </c>
      <c r="C2" t="s">
        <v>32</v>
      </c>
    </row>
    <row r="3" spans="1:3" x14ac:dyDescent="0.35">
      <c r="A3">
        <v>2017</v>
      </c>
      <c r="B3">
        <v>131.4</v>
      </c>
      <c r="C3" s="1">
        <f>IFERROR(ROUNDUP((B3-B2)/B2*100,2),"Zero Divide")</f>
        <v>2.1799999999999997</v>
      </c>
    </row>
    <row r="4" spans="1:3" x14ac:dyDescent="0.35">
      <c r="A4">
        <v>2018</v>
      </c>
      <c r="B4">
        <v>137.80000000000001</v>
      </c>
      <c r="C4" s="1">
        <f t="shared" ref="C4:C5" si="0">IFERROR(ROUNDUP((B4-B3)/B3*100,2),"Zero Divide")</f>
        <v>4.88</v>
      </c>
    </row>
    <row r="5" spans="1:3" x14ac:dyDescent="0.35">
      <c r="A5">
        <v>2019</v>
      </c>
      <c r="B5">
        <v>142</v>
      </c>
      <c r="C5" s="1">
        <f t="shared" si="0"/>
        <v>3.05</v>
      </c>
    </row>
    <row r="6" spans="1:3" x14ac:dyDescent="0.35">
      <c r="A6">
        <v>2020</v>
      </c>
      <c r="B6" t="s">
        <v>32</v>
      </c>
      <c r="C6" s="1" t="s">
        <v>32</v>
      </c>
    </row>
    <row r="7" spans="1:3" x14ac:dyDescent="0.35">
      <c r="A7">
        <v>2021</v>
      </c>
      <c r="B7">
        <v>160.4</v>
      </c>
      <c r="C7" s="1">
        <f>IFERROR(ROUNDUP((B7-B5)/B5*100,2),"Zero Divide")</f>
        <v>12.959999999999999</v>
      </c>
    </row>
    <row r="8" spans="1:3" x14ac:dyDescent="0.35">
      <c r="A8">
        <v>2022</v>
      </c>
      <c r="B8">
        <v>171.7</v>
      </c>
      <c r="C8" s="1">
        <f>IFERROR(ROUNDUP((B8-B7)/B7*100,2),"Zero Divide")</f>
        <v>7.05</v>
      </c>
    </row>
    <row r="9" spans="1:3" x14ac:dyDescent="0.35">
      <c r="A9">
        <v>2023</v>
      </c>
      <c r="B9">
        <v>179.1</v>
      </c>
      <c r="C9" s="1">
        <f>IFERROR(ROUNDUP((B9-B8)/B8*100,2),"Zero Divide")</f>
        <v>4.3099999999999996</v>
      </c>
    </row>
    <row r="11" spans="1:3" x14ac:dyDescent="0.35">
      <c r="A11" s="3" t="s">
        <v>54</v>
      </c>
    </row>
    <row r="12" spans="1:3" x14ac:dyDescent="0.35">
      <c r="A12" t="s">
        <v>55</v>
      </c>
    </row>
    <row r="13" spans="1:3" x14ac:dyDescent="0.35">
      <c r="A13" t="s">
        <v>56</v>
      </c>
    </row>
  </sheetData>
  <conditionalFormatting sqref="C3:C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{1ACC1EB0-6A1C-4E4A-9334-E632E0A12C2E}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CC1EB0-6A1C-4E4A-9334-E632E0A12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0715-2A26-479E-8088-20B6C01B99B6}">
  <dimension ref="A1:Y46"/>
  <sheetViews>
    <sheetView topLeftCell="A29" workbookViewId="0">
      <selection activeCell="B36" sqref="B36"/>
    </sheetView>
  </sheetViews>
  <sheetFormatPr defaultRowHeight="14.5" x14ac:dyDescent="0.35"/>
  <cols>
    <col min="1" max="1" width="16.453125" customWidth="1"/>
    <col min="2" max="2" width="23" bestFit="1" customWidth="1"/>
    <col min="3" max="3" width="16.453125" bestFit="1" customWidth="1"/>
    <col min="4" max="4" width="14.26953125" bestFit="1" customWidth="1"/>
    <col min="5" max="5" width="17.453125" bestFit="1" customWidth="1"/>
    <col min="6" max="6" width="5.90625" bestFit="1" customWidth="1"/>
    <col min="7" max="7" width="17.453125" bestFit="1" customWidth="1"/>
    <col min="8" max="8" width="18.08984375" bestFit="1" customWidth="1"/>
    <col min="9" max="9" width="17.453125" bestFit="1" customWidth="1"/>
    <col min="10" max="10" width="13.453125" bestFit="1" customWidth="1"/>
    <col min="11" max="11" width="17.453125" bestFit="1" customWidth="1"/>
    <col min="12" max="12" width="7.90625" bestFit="1" customWidth="1"/>
    <col min="13" max="13" width="17.453125" bestFit="1" customWidth="1"/>
    <col min="14" max="14" width="12.26953125" bestFit="1" customWidth="1"/>
    <col min="15" max="15" width="17.453125" bestFit="1" customWidth="1"/>
    <col min="16" max="16" width="20.1796875" bestFit="1" customWidth="1"/>
    <col min="17" max="17" width="17.453125" bestFit="1" customWidth="1"/>
    <col min="18" max="18" width="23.81640625" bestFit="1" customWidth="1"/>
    <col min="19" max="19" width="17.453125" bestFit="1" customWidth="1"/>
    <col min="20" max="20" width="8.7265625" bestFit="1" customWidth="1"/>
    <col min="21" max="21" width="18.453125" hidden="1" customWidth="1"/>
    <col min="22" max="22" width="23.90625" bestFit="1" customWidth="1"/>
    <col min="23" max="23" width="18.453125" bestFit="1" customWidth="1"/>
    <col min="24" max="24" width="33.6328125" bestFit="1" customWidth="1"/>
    <col min="25" max="25" width="18.453125" hidden="1" customWidth="1"/>
    <col min="26" max="26" width="7.81640625" bestFit="1" customWidth="1"/>
    <col min="27" max="27" width="30.7265625" bestFit="1" customWidth="1"/>
    <col min="28" max="28" width="7.81640625" bestFit="1" customWidth="1"/>
    <col min="29" max="29" width="21" bestFit="1" customWidth="1"/>
    <col min="30" max="30" width="14.26953125" bestFit="1" customWidth="1"/>
    <col min="31" max="31" width="5.90625" bestFit="1" customWidth="1"/>
    <col min="32" max="32" width="18.08984375" bestFit="1" customWidth="1"/>
    <col min="33" max="33" width="13.453125" bestFit="1" customWidth="1"/>
    <col min="34" max="34" width="7.90625" bestFit="1" customWidth="1"/>
    <col min="35" max="35" width="12.26953125" bestFit="1" customWidth="1"/>
    <col min="36" max="36" width="20.1796875" bestFit="1" customWidth="1"/>
    <col min="37" max="37" width="23.81640625" bestFit="1" customWidth="1"/>
    <col min="39" max="39" width="23.90625" bestFit="1" customWidth="1"/>
    <col min="40" max="40" width="33.6328125" bestFit="1" customWidth="1"/>
  </cols>
  <sheetData>
    <row r="1" spans="1:25" ht="18.5" x14ac:dyDescent="0.35">
      <c r="A1" s="7" t="s">
        <v>69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22" customHeight="1" x14ac:dyDescent="0.35">
      <c r="A2" s="8" t="s">
        <v>73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35">
      <c r="A3" t="s">
        <v>2</v>
      </c>
      <c r="B3" t="s">
        <v>3</v>
      </c>
      <c r="C3" t="s">
        <v>57</v>
      </c>
      <c r="D3" t="s">
        <v>4</v>
      </c>
      <c r="E3" t="s">
        <v>58</v>
      </c>
      <c r="F3" t="s">
        <v>5</v>
      </c>
      <c r="G3" t="s">
        <v>59</v>
      </c>
      <c r="H3" t="s">
        <v>6</v>
      </c>
      <c r="I3" t="s">
        <v>60</v>
      </c>
      <c r="J3" t="s">
        <v>7</v>
      </c>
      <c r="K3" t="s">
        <v>61</v>
      </c>
      <c r="L3" t="s">
        <v>8</v>
      </c>
      <c r="M3" t="s">
        <v>62</v>
      </c>
      <c r="N3" t="s">
        <v>9</v>
      </c>
      <c r="O3" t="s">
        <v>63</v>
      </c>
      <c r="P3" t="s">
        <v>10</v>
      </c>
      <c r="Q3" t="s">
        <v>64</v>
      </c>
      <c r="R3" t="s">
        <v>11</v>
      </c>
      <c r="S3" t="s">
        <v>65</v>
      </c>
      <c r="T3" t="s">
        <v>12</v>
      </c>
      <c r="U3" t="s">
        <v>66</v>
      </c>
      <c r="V3" t="s">
        <v>13</v>
      </c>
      <c r="W3" t="s">
        <v>67</v>
      </c>
      <c r="X3" t="s">
        <v>14</v>
      </c>
      <c r="Y3" t="s">
        <v>68</v>
      </c>
    </row>
    <row r="4" spans="1:25" x14ac:dyDescent="0.35">
      <c r="A4" t="s">
        <v>39</v>
      </c>
      <c r="B4">
        <v>155</v>
      </c>
      <c r="C4" t="s">
        <v>32</v>
      </c>
      <c r="D4">
        <v>219.4</v>
      </c>
      <c r="E4" t="s">
        <v>32</v>
      </c>
      <c r="F4">
        <v>170.8</v>
      </c>
      <c r="G4" t="s">
        <v>32</v>
      </c>
      <c r="H4">
        <v>165.8</v>
      </c>
      <c r="I4" t="s">
        <v>32</v>
      </c>
      <c r="J4">
        <v>200.9</v>
      </c>
      <c r="K4" t="s">
        <v>32</v>
      </c>
      <c r="L4">
        <v>169.7</v>
      </c>
      <c r="M4" t="s">
        <v>32</v>
      </c>
      <c r="N4">
        <v>182.3</v>
      </c>
      <c r="O4" t="s">
        <v>32</v>
      </c>
      <c r="P4">
        <v>164.3</v>
      </c>
      <c r="Q4" t="s">
        <v>32</v>
      </c>
      <c r="R4">
        <v>119.9</v>
      </c>
      <c r="S4" t="s">
        <v>32</v>
      </c>
      <c r="T4">
        <v>187.1</v>
      </c>
      <c r="U4" t="s">
        <v>32</v>
      </c>
      <c r="V4">
        <v>167.9</v>
      </c>
      <c r="W4" t="s">
        <v>32</v>
      </c>
      <c r="X4">
        <v>183.9</v>
      </c>
      <c r="Y4" t="s">
        <v>32</v>
      </c>
    </row>
    <row r="5" spans="1:25" x14ac:dyDescent="0.35">
      <c r="A5" t="s">
        <v>40</v>
      </c>
      <c r="B5">
        <v>156.5</v>
      </c>
      <c r="C5">
        <f t="shared" ref="C5:C15" si="0">ROUNDUP((B5-B4)/B4*100,2)</f>
        <v>0.97</v>
      </c>
      <c r="D5">
        <v>213</v>
      </c>
      <c r="E5">
        <f t="shared" ref="E5:E15" si="1">ROUNDUP((D5-D4)/D4*100,2)</f>
        <v>-2.92</v>
      </c>
      <c r="F5">
        <v>175.2</v>
      </c>
      <c r="G5">
        <f>ROUNDUP((F5-F4)/F4*100,2)</f>
        <v>2.5799999999999996</v>
      </c>
      <c r="H5">
        <v>166.6</v>
      </c>
      <c r="I5">
        <f>ROUNDUP((H5-H4)/H4*100,2)</f>
        <v>0.49</v>
      </c>
      <c r="J5">
        <v>195.8</v>
      </c>
      <c r="K5">
        <f>ROUNDUP((J5-J4)/J4*100,2)</f>
        <v>-2.5399999999999996</v>
      </c>
      <c r="L5">
        <v>174.2</v>
      </c>
      <c r="M5">
        <f>ROUNDUP((L5-L4)/L4*100,2)</f>
        <v>2.6599999999999997</v>
      </c>
      <c r="N5">
        <v>182.1</v>
      </c>
      <c r="O5">
        <f>ROUNDUP((N5-N4)/N4*100,2)</f>
        <v>-0.11</v>
      </c>
      <c r="P5">
        <v>164.3</v>
      </c>
      <c r="Q5">
        <f>ROUNDUP((P5-P4)/P4*100,2)</f>
        <v>0</v>
      </c>
      <c r="R5">
        <v>120</v>
      </c>
      <c r="S5">
        <f>ROUNDUP((R5-R4)/R4*100,2)</f>
        <v>0.09</v>
      </c>
      <c r="T5">
        <v>190</v>
      </c>
      <c r="U5">
        <f>ROUNDUP((T5-T4)/T4*100,2)</f>
        <v>1.55</v>
      </c>
      <c r="V5">
        <v>168.4</v>
      </c>
      <c r="W5">
        <f>ROUNDUP((V5-V4)/V4*100,2)</f>
        <v>0.3</v>
      </c>
      <c r="X5">
        <v>185.2</v>
      </c>
      <c r="Y5">
        <f>ROUNDUP((X5-X4)/X4*100,2)</f>
        <v>0.71</v>
      </c>
    </row>
    <row r="6" spans="1:25" x14ac:dyDescent="0.35">
      <c r="A6" t="s">
        <v>41</v>
      </c>
      <c r="B6">
        <v>160.30000000000001</v>
      </c>
      <c r="C6">
        <f t="shared" si="0"/>
        <v>2.4299999999999997</v>
      </c>
      <c r="D6">
        <v>206.5</v>
      </c>
      <c r="E6">
        <f t="shared" si="1"/>
        <v>-3.0599999999999996</v>
      </c>
      <c r="F6">
        <v>169.2</v>
      </c>
      <c r="G6">
        <f t="shared" ref="G6:G15" si="2">ROUNDUP((F6-F5)/F5*100,2)</f>
        <v>-3.4299999999999997</v>
      </c>
      <c r="H6">
        <v>168.1</v>
      </c>
      <c r="I6">
        <f t="shared" ref="I6:I15" si="3">ROUNDUP((H6-H5)/H5*100,2)</f>
        <v>0.91</v>
      </c>
      <c r="J6">
        <v>192.4</v>
      </c>
      <c r="K6">
        <f t="shared" ref="K6:K15" si="4">ROUNDUP((J6-J5)/J5*100,2)</f>
        <v>-1.74</v>
      </c>
      <c r="L6">
        <v>172.9</v>
      </c>
      <c r="M6">
        <f t="shared" ref="M6:M15" si="5">ROUNDUP((L6-L5)/L5*100,2)</f>
        <v>-0.75</v>
      </c>
      <c r="N6">
        <v>186.7</v>
      </c>
      <c r="O6">
        <f t="shared" ref="O6:O15" si="6">ROUNDUP((N6-N5)/N5*100,2)</f>
        <v>2.5299999999999998</v>
      </c>
      <c r="P6">
        <v>167.2</v>
      </c>
      <c r="Q6">
        <f t="shared" ref="Q6:Q15" si="7">ROUNDUP((P6-P5)/P5*100,2)</f>
        <v>1.77</v>
      </c>
      <c r="R6">
        <v>120.9</v>
      </c>
      <c r="S6">
        <f t="shared" ref="S6:S15" si="8">ROUNDUP((R6-R5)/R5*100,2)</f>
        <v>0.76</v>
      </c>
      <c r="T6">
        <v>193.6</v>
      </c>
      <c r="U6">
        <f t="shared" ref="U6:U15" si="9">ROUNDUP((T6-T5)/T5*100,2)</f>
        <v>1.9</v>
      </c>
      <c r="V6">
        <v>168.8</v>
      </c>
      <c r="W6">
        <f t="shared" ref="W6:W15" si="10">ROUNDUP((V6-V5)/V5*100,2)</f>
        <v>0.24000000000000002</v>
      </c>
      <c r="X6">
        <v>186.3</v>
      </c>
      <c r="Y6">
        <f t="shared" ref="Y6:Y15" si="11">ROUNDUP((X6-X5)/X5*100,2)</f>
        <v>0.6</v>
      </c>
    </row>
    <row r="7" spans="1:25" x14ac:dyDescent="0.35">
      <c r="A7" t="s">
        <v>42</v>
      </c>
      <c r="B7">
        <v>163.5</v>
      </c>
      <c r="C7">
        <f t="shared" si="0"/>
        <v>2</v>
      </c>
      <c r="D7">
        <v>209.2</v>
      </c>
      <c r="E7">
        <f t="shared" si="1"/>
        <v>1.31</v>
      </c>
      <c r="F7">
        <v>169.7</v>
      </c>
      <c r="G7">
        <f t="shared" si="2"/>
        <v>0.3</v>
      </c>
      <c r="H7">
        <v>169.7</v>
      </c>
      <c r="I7">
        <f t="shared" si="3"/>
        <v>0.96</v>
      </c>
      <c r="J7">
        <v>188.7</v>
      </c>
      <c r="K7">
        <f t="shared" si="4"/>
        <v>-1.93</v>
      </c>
      <c r="L7">
        <v>165.7</v>
      </c>
      <c r="M7">
        <f t="shared" si="5"/>
        <v>-4.17</v>
      </c>
      <c r="N7">
        <v>191.8</v>
      </c>
      <c r="O7">
        <f t="shared" si="6"/>
        <v>2.7399999999999998</v>
      </c>
      <c r="P7">
        <v>169.1</v>
      </c>
      <c r="Q7">
        <f t="shared" si="7"/>
        <v>1.1399999999999999</v>
      </c>
      <c r="R7">
        <v>121.6</v>
      </c>
      <c r="S7">
        <f t="shared" si="8"/>
        <v>0.57999999999999996</v>
      </c>
      <c r="T7">
        <v>197.3</v>
      </c>
      <c r="U7">
        <f t="shared" si="9"/>
        <v>1.92</v>
      </c>
      <c r="V7">
        <v>169.4</v>
      </c>
      <c r="W7">
        <f t="shared" si="10"/>
        <v>0.36</v>
      </c>
      <c r="X7">
        <v>187.4</v>
      </c>
      <c r="Y7">
        <f t="shared" si="11"/>
        <v>0.6</v>
      </c>
    </row>
    <row r="8" spans="1:25" x14ac:dyDescent="0.35">
      <c r="A8" t="s">
        <v>43</v>
      </c>
      <c r="B8">
        <v>165.2</v>
      </c>
      <c r="C8">
        <f t="shared" si="0"/>
        <v>1.04</v>
      </c>
      <c r="D8">
        <v>210.9</v>
      </c>
      <c r="E8">
        <f t="shared" si="1"/>
        <v>0.82000000000000006</v>
      </c>
      <c r="F8">
        <v>170.9</v>
      </c>
      <c r="G8">
        <f t="shared" si="2"/>
        <v>0.71</v>
      </c>
      <c r="H8">
        <v>170.9</v>
      </c>
      <c r="I8">
        <f t="shared" si="3"/>
        <v>0.71</v>
      </c>
      <c r="J8">
        <v>186.5</v>
      </c>
      <c r="K8">
        <f t="shared" si="4"/>
        <v>-1.17</v>
      </c>
      <c r="L8">
        <v>163.80000000000001</v>
      </c>
      <c r="M8">
        <f t="shared" si="5"/>
        <v>-1.1499999999999999</v>
      </c>
      <c r="N8">
        <v>199.7</v>
      </c>
      <c r="O8">
        <f t="shared" si="6"/>
        <v>4.12</v>
      </c>
      <c r="P8">
        <v>169.8</v>
      </c>
      <c r="Q8">
        <f t="shared" si="7"/>
        <v>0.42</v>
      </c>
      <c r="R8">
        <v>121.9</v>
      </c>
      <c r="S8">
        <f t="shared" si="8"/>
        <v>0.25</v>
      </c>
      <c r="T8">
        <v>199.9</v>
      </c>
      <c r="U8">
        <f t="shared" si="9"/>
        <v>1.32</v>
      </c>
      <c r="V8">
        <v>169.9</v>
      </c>
      <c r="W8">
        <f t="shared" si="10"/>
        <v>0.3</v>
      </c>
      <c r="X8">
        <v>188.3</v>
      </c>
      <c r="Y8">
        <f t="shared" si="11"/>
        <v>0.49</v>
      </c>
    </row>
    <row r="9" spans="1:25" x14ac:dyDescent="0.35">
      <c r="A9" t="s">
        <v>45</v>
      </c>
      <c r="B9">
        <v>167.4</v>
      </c>
      <c r="C9">
        <f t="shared" si="0"/>
        <v>1.34</v>
      </c>
      <c r="D9">
        <v>209.4</v>
      </c>
      <c r="E9">
        <f t="shared" si="1"/>
        <v>-0.72</v>
      </c>
      <c r="F9">
        <v>181.4</v>
      </c>
      <c r="G9">
        <f t="shared" si="2"/>
        <v>6.1499999999999995</v>
      </c>
      <c r="H9">
        <v>172.3</v>
      </c>
      <c r="I9">
        <f t="shared" si="3"/>
        <v>0.82000000000000006</v>
      </c>
      <c r="J9">
        <v>188.9</v>
      </c>
      <c r="K9">
        <f t="shared" si="4"/>
        <v>1.29</v>
      </c>
      <c r="L9">
        <v>160.69999999999999</v>
      </c>
      <c r="M9">
        <f t="shared" si="5"/>
        <v>-1.9</v>
      </c>
      <c r="N9">
        <v>183.1</v>
      </c>
      <c r="O9">
        <f t="shared" si="6"/>
        <v>-8.32</v>
      </c>
      <c r="P9">
        <v>170.5</v>
      </c>
      <c r="Q9">
        <f t="shared" si="7"/>
        <v>0.42</v>
      </c>
      <c r="R9">
        <v>122.1</v>
      </c>
      <c r="S9">
        <f t="shared" si="8"/>
        <v>0.17</v>
      </c>
      <c r="T9">
        <v>202.8</v>
      </c>
      <c r="U9">
        <f t="shared" si="9"/>
        <v>1.46</v>
      </c>
      <c r="V9">
        <v>170.4</v>
      </c>
      <c r="W9">
        <f t="shared" si="10"/>
        <v>0.3</v>
      </c>
      <c r="X9">
        <v>189.5</v>
      </c>
      <c r="Y9">
        <f t="shared" si="11"/>
        <v>0.64</v>
      </c>
    </row>
    <row r="10" spans="1:25" x14ac:dyDescent="0.35">
      <c r="A10" t="s">
        <v>46</v>
      </c>
      <c r="B10">
        <v>169.2</v>
      </c>
      <c r="C10">
        <f t="shared" si="0"/>
        <v>1.08</v>
      </c>
      <c r="D10">
        <v>209</v>
      </c>
      <c r="E10">
        <f t="shared" si="1"/>
        <v>-0.2</v>
      </c>
      <c r="F10">
        <v>190.2</v>
      </c>
      <c r="G10">
        <f t="shared" si="2"/>
        <v>4.8599999999999994</v>
      </c>
      <c r="H10">
        <v>173.6</v>
      </c>
      <c r="I10">
        <f t="shared" si="3"/>
        <v>0.76</v>
      </c>
      <c r="J10">
        <v>188.5</v>
      </c>
      <c r="K10">
        <f t="shared" si="4"/>
        <v>-0.22</v>
      </c>
      <c r="L10">
        <v>158</v>
      </c>
      <c r="M10">
        <f t="shared" si="5"/>
        <v>-1.69</v>
      </c>
      <c r="N10">
        <v>159.9</v>
      </c>
      <c r="O10">
        <f t="shared" si="6"/>
        <v>-12.68</v>
      </c>
      <c r="P10">
        <v>170.8</v>
      </c>
      <c r="Q10">
        <f t="shared" si="7"/>
        <v>0.18000000000000002</v>
      </c>
      <c r="R10">
        <v>121.8</v>
      </c>
      <c r="S10">
        <f t="shared" si="8"/>
        <v>-0.25</v>
      </c>
      <c r="T10">
        <v>205.2</v>
      </c>
      <c r="U10">
        <f t="shared" si="9"/>
        <v>1.19</v>
      </c>
      <c r="V10">
        <v>171</v>
      </c>
      <c r="W10">
        <f t="shared" si="10"/>
        <v>0.36</v>
      </c>
      <c r="X10">
        <v>190.3</v>
      </c>
      <c r="Y10">
        <f t="shared" si="11"/>
        <v>0.43</v>
      </c>
    </row>
    <row r="11" spans="1:25" x14ac:dyDescent="0.35">
      <c r="A11" t="s">
        <v>31</v>
      </c>
      <c r="B11">
        <v>173.8</v>
      </c>
      <c r="C11">
        <f t="shared" si="0"/>
        <v>2.7199999999999998</v>
      </c>
      <c r="D11">
        <v>210.7</v>
      </c>
      <c r="E11">
        <f t="shared" si="1"/>
        <v>0.82000000000000006</v>
      </c>
      <c r="F11">
        <v>194.5</v>
      </c>
      <c r="G11">
        <f t="shared" si="2"/>
        <v>2.2699999999999996</v>
      </c>
      <c r="H11">
        <v>174.6</v>
      </c>
      <c r="I11">
        <f t="shared" si="3"/>
        <v>0.57999999999999996</v>
      </c>
      <c r="J11">
        <v>187.2</v>
      </c>
      <c r="K11">
        <f t="shared" si="4"/>
        <v>-0.69000000000000006</v>
      </c>
      <c r="L11">
        <v>158.30000000000001</v>
      </c>
      <c r="M11">
        <f t="shared" si="5"/>
        <v>0.19</v>
      </c>
      <c r="N11">
        <v>153.9</v>
      </c>
      <c r="O11">
        <f t="shared" si="6"/>
        <v>-3.76</v>
      </c>
      <c r="P11">
        <v>170.9</v>
      </c>
      <c r="Q11">
        <f t="shared" si="7"/>
        <v>6.0000000000000005E-2</v>
      </c>
      <c r="R11">
        <v>121.1</v>
      </c>
      <c r="S11">
        <f t="shared" si="8"/>
        <v>-0.57999999999999996</v>
      </c>
      <c r="T11">
        <v>208.4</v>
      </c>
      <c r="U11">
        <f t="shared" si="9"/>
        <v>1.56</v>
      </c>
      <c r="V11">
        <v>171.4</v>
      </c>
      <c r="W11">
        <f t="shared" si="10"/>
        <v>0.24000000000000002</v>
      </c>
      <c r="X11">
        <v>191.2</v>
      </c>
      <c r="Y11">
        <f t="shared" si="11"/>
        <v>0.48</v>
      </c>
    </row>
    <row r="12" spans="1:25" x14ac:dyDescent="0.35">
      <c r="A12" t="s">
        <v>35</v>
      </c>
      <c r="B12">
        <v>174.4</v>
      </c>
      <c r="C12">
        <f t="shared" si="0"/>
        <v>0.35000000000000003</v>
      </c>
      <c r="D12">
        <v>207.7</v>
      </c>
      <c r="E12">
        <f t="shared" si="1"/>
        <v>-1.43</v>
      </c>
      <c r="F12">
        <v>175.2</v>
      </c>
      <c r="G12">
        <f t="shared" si="2"/>
        <v>-9.93</v>
      </c>
      <c r="H12">
        <v>177.3</v>
      </c>
      <c r="I12">
        <f t="shared" si="3"/>
        <v>1.55</v>
      </c>
      <c r="J12">
        <v>179.3</v>
      </c>
      <c r="K12">
        <f t="shared" si="4"/>
        <v>-4.2299999999999995</v>
      </c>
      <c r="L12">
        <v>169.5</v>
      </c>
      <c r="M12">
        <f t="shared" si="5"/>
        <v>7.08</v>
      </c>
      <c r="N12">
        <v>152.69999999999999</v>
      </c>
      <c r="O12">
        <f t="shared" si="6"/>
        <v>-0.78</v>
      </c>
      <c r="P12">
        <v>171</v>
      </c>
      <c r="Q12">
        <f t="shared" si="7"/>
        <v>6.0000000000000005E-2</v>
      </c>
      <c r="R12">
        <v>120</v>
      </c>
      <c r="S12">
        <f t="shared" si="8"/>
        <v>-0.91</v>
      </c>
      <c r="T12">
        <v>209.7</v>
      </c>
      <c r="U12">
        <f t="shared" si="9"/>
        <v>0.63</v>
      </c>
      <c r="V12">
        <v>172.3</v>
      </c>
      <c r="W12">
        <f t="shared" si="10"/>
        <v>0.53</v>
      </c>
      <c r="X12">
        <v>193</v>
      </c>
      <c r="Y12">
        <f t="shared" si="11"/>
        <v>0.95</v>
      </c>
    </row>
    <row r="13" spans="1:25" x14ac:dyDescent="0.35">
      <c r="A13" t="s">
        <v>36</v>
      </c>
      <c r="B13">
        <v>174.4</v>
      </c>
      <c r="C13">
        <f t="shared" si="0"/>
        <v>0</v>
      </c>
      <c r="D13">
        <v>207.7</v>
      </c>
      <c r="E13">
        <f t="shared" si="1"/>
        <v>0</v>
      </c>
      <c r="F13">
        <v>175.2</v>
      </c>
      <c r="G13">
        <f t="shared" si="2"/>
        <v>0</v>
      </c>
      <c r="H13">
        <v>177.3</v>
      </c>
      <c r="I13">
        <f t="shared" si="3"/>
        <v>0</v>
      </c>
      <c r="J13">
        <v>179.2</v>
      </c>
      <c r="K13">
        <f t="shared" si="4"/>
        <v>-6.0000000000000005E-2</v>
      </c>
      <c r="L13">
        <v>169.5</v>
      </c>
      <c r="M13">
        <f t="shared" si="5"/>
        <v>0</v>
      </c>
      <c r="N13">
        <v>152.80000000000001</v>
      </c>
      <c r="O13">
        <f t="shared" si="6"/>
        <v>6.9999999999999993E-2</v>
      </c>
      <c r="P13">
        <v>171.1</v>
      </c>
      <c r="Q13">
        <f t="shared" si="7"/>
        <v>6.0000000000000005E-2</v>
      </c>
      <c r="R13">
        <v>120</v>
      </c>
      <c r="S13">
        <f t="shared" si="8"/>
        <v>0</v>
      </c>
      <c r="T13">
        <v>209.7</v>
      </c>
      <c r="U13">
        <f t="shared" si="9"/>
        <v>0</v>
      </c>
      <c r="V13">
        <v>172.3</v>
      </c>
      <c r="W13">
        <f t="shared" si="10"/>
        <v>0</v>
      </c>
      <c r="X13">
        <v>193</v>
      </c>
      <c r="Y13">
        <f t="shared" si="11"/>
        <v>0</v>
      </c>
    </row>
    <row r="14" spans="1:25" x14ac:dyDescent="0.35">
      <c r="A14" t="s">
        <v>37</v>
      </c>
      <c r="B14">
        <v>173.8</v>
      </c>
      <c r="C14">
        <f t="shared" si="0"/>
        <v>-0.35000000000000003</v>
      </c>
      <c r="D14">
        <v>209.3</v>
      </c>
      <c r="E14">
        <f t="shared" si="1"/>
        <v>0.78</v>
      </c>
      <c r="F14">
        <v>169.6</v>
      </c>
      <c r="G14">
        <f t="shared" si="2"/>
        <v>-3.1999999999999997</v>
      </c>
      <c r="H14">
        <v>178.4</v>
      </c>
      <c r="I14">
        <f t="shared" si="3"/>
        <v>0.63</v>
      </c>
      <c r="J14">
        <v>174.9</v>
      </c>
      <c r="K14">
        <f t="shared" si="4"/>
        <v>-2.4</v>
      </c>
      <c r="L14">
        <v>176.3</v>
      </c>
      <c r="M14">
        <f t="shared" si="5"/>
        <v>4.0199999999999996</v>
      </c>
      <c r="N14">
        <v>155.4</v>
      </c>
      <c r="O14">
        <f t="shared" si="6"/>
        <v>1.71</v>
      </c>
      <c r="P14">
        <v>173.4</v>
      </c>
      <c r="Q14">
        <f t="shared" si="7"/>
        <v>1.35</v>
      </c>
      <c r="R14">
        <v>121.3</v>
      </c>
      <c r="S14">
        <f t="shared" si="8"/>
        <v>1.0900000000000001</v>
      </c>
      <c r="T14">
        <v>212.9</v>
      </c>
      <c r="U14">
        <f t="shared" si="9"/>
        <v>1.53</v>
      </c>
      <c r="V14">
        <v>172.9</v>
      </c>
      <c r="W14">
        <f t="shared" si="10"/>
        <v>0.35000000000000003</v>
      </c>
      <c r="X14">
        <v>193.5</v>
      </c>
      <c r="Y14">
        <f t="shared" si="11"/>
        <v>0.26</v>
      </c>
    </row>
    <row r="15" spans="1:25" x14ac:dyDescent="0.35">
      <c r="A15" t="s">
        <v>38</v>
      </c>
      <c r="B15">
        <v>173.7</v>
      </c>
      <c r="C15">
        <f t="shared" si="0"/>
        <v>-6.0000000000000005E-2</v>
      </c>
      <c r="D15">
        <v>214.3</v>
      </c>
      <c r="E15">
        <f t="shared" si="1"/>
        <v>2.3899999999999997</v>
      </c>
      <c r="F15">
        <v>173.2</v>
      </c>
      <c r="G15">
        <f t="shared" si="2"/>
        <v>2.13</v>
      </c>
      <c r="H15">
        <v>179.5</v>
      </c>
      <c r="I15">
        <f t="shared" si="3"/>
        <v>0.62</v>
      </c>
      <c r="J15">
        <v>170</v>
      </c>
      <c r="K15">
        <f t="shared" si="4"/>
        <v>-2.8099999999999996</v>
      </c>
      <c r="L15">
        <v>172.2</v>
      </c>
      <c r="M15">
        <f t="shared" si="5"/>
        <v>-2.3299999999999996</v>
      </c>
      <c r="N15">
        <v>161</v>
      </c>
      <c r="O15">
        <f t="shared" si="6"/>
        <v>3.61</v>
      </c>
      <c r="P15">
        <v>175.6</v>
      </c>
      <c r="Q15">
        <f t="shared" si="7"/>
        <v>1.27</v>
      </c>
      <c r="R15">
        <v>122.7</v>
      </c>
      <c r="S15">
        <f t="shared" si="8"/>
        <v>1.1599999999999999</v>
      </c>
      <c r="T15">
        <v>218</v>
      </c>
      <c r="U15">
        <f t="shared" si="9"/>
        <v>2.4</v>
      </c>
      <c r="V15">
        <v>173.4</v>
      </c>
      <c r="W15">
        <f t="shared" si="10"/>
        <v>0.29000000000000004</v>
      </c>
      <c r="X15">
        <v>194.2</v>
      </c>
      <c r="Y15">
        <f t="shared" si="11"/>
        <v>0.37</v>
      </c>
    </row>
    <row r="17" spans="1:25" ht="18.5" x14ac:dyDescent="0.35">
      <c r="A17" s="8" t="s">
        <v>72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x14ac:dyDescent="0.35">
      <c r="A18" t="s">
        <v>2</v>
      </c>
      <c r="B18" t="s">
        <v>70</v>
      </c>
      <c r="C18" t="s">
        <v>57</v>
      </c>
    </row>
    <row r="19" spans="1:25" x14ac:dyDescent="0.35">
      <c r="A19" t="s">
        <v>39</v>
      </c>
      <c r="B19">
        <f t="shared" ref="B19:B30" si="12">B4+D4+F4+H4+J4+L4+N4+P4+R4+T4+V4+X4</f>
        <v>2087</v>
      </c>
      <c r="C19" t="s">
        <v>32</v>
      </c>
    </row>
    <row r="20" spans="1:25" x14ac:dyDescent="0.35">
      <c r="A20" t="s">
        <v>40</v>
      </c>
      <c r="B20">
        <f t="shared" si="12"/>
        <v>2091.3000000000002</v>
      </c>
      <c r="C20">
        <f>ROUNDUP((B20-B19)/B19*100,2)</f>
        <v>0.21000000000000002</v>
      </c>
    </row>
    <row r="21" spans="1:25" x14ac:dyDescent="0.35">
      <c r="A21" t="s">
        <v>41</v>
      </c>
      <c r="B21">
        <f t="shared" si="12"/>
        <v>2092.9</v>
      </c>
      <c r="C21">
        <f t="shared" ref="C21:C30" si="13">ROUNDUP((B21-B20)/B20*100,2)</f>
        <v>0.08</v>
      </c>
    </row>
    <row r="22" spans="1:25" x14ac:dyDescent="0.35">
      <c r="A22" t="s">
        <v>42</v>
      </c>
      <c r="B22">
        <f t="shared" si="12"/>
        <v>2103.1</v>
      </c>
      <c r="C22">
        <f t="shared" si="13"/>
        <v>0.49</v>
      </c>
    </row>
    <row r="23" spans="1:25" x14ac:dyDescent="0.35">
      <c r="A23" t="s">
        <v>43</v>
      </c>
      <c r="B23">
        <f t="shared" si="12"/>
        <v>2117.7000000000003</v>
      </c>
      <c r="C23">
        <f t="shared" si="13"/>
        <v>0.7</v>
      </c>
    </row>
    <row r="24" spans="1:25" x14ac:dyDescent="0.35">
      <c r="A24" t="s">
        <v>45</v>
      </c>
      <c r="B24">
        <f t="shared" si="12"/>
        <v>2118.5</v>
      </c>
      <c r="C24">
        <f t="shared" si="13"/>
        <v>0.04</v>
      </c>
    </row>
    <row r="25" spans="1:25" x14ac:dyDescent="0.35">
      <c r="A25" t="s">
        <v>46</v>
      </c>
      <c r="B25">
        <f t="shared" si="12"/>
        <v>2107.5</v>
      </c>
      <c r="C25">
        <f t="shared" si="13"/>
        <v>-0.52</v>
      </c>
    </row>
    <row r="26" spans="1:25" x14ac:dyDescent="0.35">
      <c r="A26" t="s">
        <v>31</v>
      </c>
      <c r="B26">
        <f t="shared" si="12"/>
        <v>2116</v>
      </c>
      <c r="C26">
        <f t="shared" si="13"/>
        <v>0.41000000000000003</v>
      </c>
      <c r="E26" t="s">
        <v>71</v>
      </c>
    </row>
    <row r="27" spans="1:25" x14ac:dyDescent="0.35">
      <c r="A27" t="s">
        <v>35</v>
      </c>
      <c r="B27">
        <f t="shared" si="12"/>
        <v>2102.1</v>
      </c>
      <c r="C27">
        <f t="shared" si="13"/>
        <v>-0.66</v>
      </c>
    </row>
    <row r="28" spans="1:25" x14ac:dyDescent="0.35">
      <c r="A28" t="s">
        <v>36</v>
      </c>
      <c r="B28">
        <f t="shared" si="12"/>
        <v>2102.1999999999998</v>
      </c>
      <c r="C28">
        <f t="shared" si="13"/>
        <v>0.01</v>
      </c>
    </row>
    <row r="29" spans="1:25" x14ac:dyDescent="0.35">
      <c r="A29" t="s">
        <v>37</v>
      </c>
      <c r="B29">
        <f t="shared" si="12"/>
        <v>2111.7000000000003</v>
      </c>
      <c r="C29">
        <f t="shared" si="13"/>
        <v>0.46</v>
      </c>
    </row>
    <row r="30" spans="1:25" x14ac:dyDescent="0.35">
      <c r="A30" t="s">
        <v>38</v>
      </c>
      <c r="B30">
        <f t="shared" si="12"/>
        <v>2127.8000000000002</v>
      </c>
      <c r="C30">
        <f t="shared" si="13"/>
        <v>0.77</v>
      </c>
    </row>
    <row r="33" spans="1:25" ht="18.5" x14ac:dyDescent="0.35">
      <c r="A33" s="8" t="s">
        <v>76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x14ac:dyDescent="0.35">
      <c r="A34" t="s">
        <v>74</v>
      </c>
      <c r="B34" t="s">
        <v>75</v>
      </c>
    </row>
    <row r="35" spans="1:25" x14ac:dyDescent="0.35">
      <c r="A35" t="s">
        <v>3</v>
      </c>
      <c r="B35">
        <f t="shared" ref="B35" si="14">B15-B4</f>
        <v>18.699999999999989</v>
      </c>
    </row>
    <row r="36" spans="1:25" x14ac:dyDescent="0.35">
      <c r="A36" t="s">
        <v>4</v>
      </c>
      <c r="B36">
        <f>D15-D4</f>
        <v>-5.0999999999999943</v>
      </c>
    </row>
    <row r="37" spans="1:25" x14ac:dyDescent="0.35">
      <c r="A37" t="s">
        <v>5</v>
      </c>
      <c r="B37">
        <f>F15-F4</f>
        <v>2.3999999999999773</v>
      </c>
    </row>
    <row r="38" spans="1:25" x14ac:dyDescent="0.35">
      <c r="A38" t="s">
        <v>6</v>
      </c>
      <c r="B38">
        <f>H15-H4</f>
        <v>13.699999999999989</v>
      </c>
    </row>
    <row r="39" spans="1:25" x14ac:dyDescent="0.35">
      <c r="A39" t="s">
        <v>7</v>
      </c>
      <c r="B39">
        <f>J15-J4</f>
        <v>-30.900000000000006</v>
      </c>
    </row>
    <row r="40" spans="1:25" x14ac:dyDescent="0.35">
      <c r="A40" t="s">
        <v>8</v>
      </c>
      <c r="B40">
        <f>L15-L4</f>
        <v>2.5</v>
      </c>
    </row>
    <row r="41" spans="1:25" x14ac:dyDescent="0.35">
      <c r="A41" t="s">
        <v>9</v>
      </c>
      <c r="B41">
        <f>N15-N4</f>
        <v>-21.300000000000011</v>
      </c>
    </row>
    <row r="42" spans="1:25" x14ac:dyDescent="0.35">
      <c r="A42" t="s">
        <v>10</v>
      </c>
      <c r="B42">
        <f>P15-P4</f>
        <v>11.299999999999983</v>
      </c>
    </row>
    <row r="43" spans="1:25" x14ac:dyDescent="0.35">
      <c r="A43" t="s">
        <v>11</v>
      </c>
      <c r="B43">
        <f>R15-R4</f>
        <v>2.7999999999999972</v>
      </c>
    </row>
    <row r="44" spans="1:25" x14ac:dyDescent="0.35">
      <c r="A44" t="s">
        <v>12</v>
      </c>
      <c r="B44">
        <f>T15-T4</f>
        <v>30.900000000000006</v>
      </c>
    </row>
    <row r="45" spans="1:25" x14ac:dyDescent="0.35">
      <c r="A45" t="s">
        <v>13</v>
      </c>
      <c r="B45">
        <f>V15-V4</f>
        <v>5.5</v>
      </c>
    </row>
    <row r="46" spans="1:25" x14ac:dyDescent="0.35">
      <c r="A46" t="s">
        <v>14</v>
      </c>
      <c r="B46">
        <f>X15-X4</f>
        <v>10.299999999999983</v>
      </c>
    </row>
  </sheetData>
  <mergeCells count="4">
    <mergeCell ref="A1:Y1"/>
    <mergeCell ref="A2:Y2"/>
    <mergeCell ref="A17:Y17"/>
    <mergeCell ref="A33:Y33"/>
  </mergeCells>
  <phoneticPr fontId="18" type="noConversion"/>
  <conditionalFormatting sqref="B35:B46">
    <cfRule type="top10" dxfId="3" priority="1" rank="1"/>
  </conditionalFormatting>
  <conditionalFormatting sqref="C20:C30">
    <cfRule type="top10" dxfId="2" priority="2" bottom="1" rank="1"/>
    <cfRule type="top10" dxfId="1" priority="3" rank="1"/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4CEC-B7E0-4142-8EF4-527BE026DA8D}">
  <dimension ref="A1:H53"/>
  <sheetViews>
    <sheetView workbookViewId="0">
      <selection activeCell="H8" sqref="H8"/>
    </sheetView>
  </sheetViews>
  <sheetFormatPr defaultRowHeight="14.5" x14ac:dyDescent="0.35"/>
  <cols>
    <col min="1" max="1" width="6.81640625" bestFit="1" customWidth="1"/>
    <col min="2" max="2" width="9.6328125" bestFit="1" customWidth="1"/>
    <col min="3" max="3" width="14.6328125" bestFit="1" customWidth="1"/>
    <col min="4" max="4" width="17" bestFit="1" customWidth="1"/>
    <col min="5" max="5" width="10.54296875" bestFit="1" customWidth="1"/>
    <col min="7" max="7" width="10.54296875" bestFit="1" customWidth="1"/>
    <col min="8" max="8" width="23.81640625" bestFit="1" customWidth="1"/>
    <col min="9" max="9" width="15.6328125" bestFit="1" customWidth="1"/>
    <col min="10" max="10" width="15.6328125" customWidth="1"/>
    <col min="11" max="52" width="15.6328125" bestFit="1" customWidth="1"/>
    <col min="53" max="54" width="10.36328125" bestFit="1" customWidth="1"/>
  </cols>
  <sheetData>
    <row r="1" spans="1:8" x14ac:dyDescent="0.35">
      <c r="A1" t="s">
        <v>1</v>
      </c>
      <c r="B1" t="s">
        <v>2</v>
      </c>
      <c r="C1" t="s">
        <v>29</v>
      </c>
      <c r="D1" t="s">
        <v>77</v>
      </c>
      <c r="E1" t="s">
        <v>78</v>
      </c>
      <c r="G1" s="4" t="s">
        <v>78</v>
      </c>
      <c r="H1" t="s">
        <v>81</v>
      </c>
    </row>
    <row r="2" spans="1:8" x14ac:dyDescent="0.35">
      <c r="A2" s="6">
        <v>2019</v>
      </c>
      <c r="B2" s="6" t="s">
        <v>31</v>
      </c>
      <c r="C2" s="6">
        <v>139.6</v>
      </c>
      <c r="D2" s="6"/>
      <c r="E2" s="6" t="str">
        <f t="shared" ref="E2:E33" si="0">IF(AND(A2=2020,B2="March"),"Post-COVID",IF(A2&lt;2020, "Pre-COVID", "Post-COVID"))</f>
        <v>Pre-COVID</v>
      </c>
      <c r="G2" s="5" t="s">
        <v>80</v>
      </c>
      <c r="H2" s="9">
        <v>5.6208108108108101</v>
      </c>
    </row>
    <row r="3" spans="1:8" x14ac:dyDescent="0.35">
      <c r="A3" s="6">
        <v>2019</v>
      </c>
      <c r="B3" s="6" t="s">
        <v>35</v>
      </c>
      <c r="C3" s="6">
        <v>139.9</v>
      </c>
      <c r="D3" s="6"/>
      <c r="E3" s="6" t="str">
        <f t="shared" si="0"/>
        <v>Pre-COVID</v>
      </c>
      <c r="G3" s="5" t="s">
        <v>79</v>
      </c>
      <c r="H3" s="9"/>
    </row>
    <row r="4" spans="1:8" x14ac:dyDescent="0.35">
      <c r="A4" s="6">
        <v>2019</v>
      </c>
      <c r="B4" s="6" t="s">
        <v>36</v>
      </c>
      <c r="C4" s="6">
        <v>140.4</v>
      </c>
      <c r="D4" s="6"/>
      <c r="E4" s="6" t="str">
        <f t="shared" si="0"/>
        <v>Pre-COVID</v>
      </c>
    </row>
    <row r="5" spans="1:8" x14ac:dyDescent="0.35">
      <c r="A5" s="6">
        <v>2019</v>
      </c>
      <c r="B5" s="6" t="s">
        <v>38</v>
      </c>
      <c r="C5" s="6">
        <v>142</v>
      </c>
      <c r="D5" s="6"/>
      <c r="E5" s="6" t="str">
        <f t="shared" si="0"/>
        <v>Pre-COVID</v>
      </c>
    </row>
    <row r="6" spans="1:8" x14ac:dyDescent="0.35">
      <c r="A6" s="6">
        <v>2019</v>
      </c>
      <c r="B6" s="6" t="s">
        <v>39</v>
      </c>
      <c r="C6" s="6">
        <v>142.9</v>
      </c>
      <c r="D6" s="6"/>
      <c r="E6" s="6" t="str">
        <f t="shared" si="0"/>
        <v>Pre-COVID</v>
      </c>
    </row>
    <row r="7" spans="1:8" x14ac:dyDescent="0.35">
      <c r="A7" s="6">
        <v>2019</v>
      </c>
      <c r="B7" s="6" t="s">
        <v>40</v>
      </c>
      <c r="C7" s="6">
        <v>144.19999999999999</v>
      </c>
      <c r="D7" s="6"/>
      <c r="E7" s="6" t="str">
        <f t="shared" si="0"/>
        <v>Pre-COVID</v>
      </c>
    </row>
    <row r="8" spans="1:8" x14ac:dyDescent="0.35">
      <c r="A8" s="6">
        <v>2019</v>
      </c>
      <c r="B8" s="6" t="s">
        <v>41</v>
      </c>
      <c r="C8" s="6">
        <v>145</v>
      </c>
      <c r="D8" s="6"/>
      <c r="E8" s="6" t="str">
        <f t="shared" si="0"/>
        <v>Pre-COVID</v>
      </c>
    </row>
    <row r="9" spans="1:8" x14ac:dyDescent="0.35">
      <c r="A9" s="6">
        <v>2019</v>
      </c>
      <c r="B9" s="6" t="s">
        <v>42</v>
      </c>
      <c r="C9" s="6">
        <v>145.80000000000001</v>
      </c>
      <c r="D9" s="6"/>
      <c r="E9" s="6" t="str">
        <f t="shared" si="0"/>
        <v>Pre-COVID</v>
      </c>
    </row>
    <row r="10" spans="1:8" x14ac:dyDescent="0.35">
      <c r="A10" s="6">
        <v>2019</v>
      </c>
      <c r="B10" s="6" t="s">
        <v>43</v>
      </c>
      <c r="C10" s="6">
        <v>147.19999999999999</v>
      </c>
      <c r="D10" s="6"/>
      <c r="E10" s="6" t="str">
        <f t="shared" si="0"/>
        <v>Pre-COVID</v>
      </c>
    </row>
    <row r="11" spans="1:8" x14ac:dyDescent="0.35">
      <c r="A11" s="6">
        <v>2019</v>
      </c>
      <c r="B11" s="6" t="s">
        <v>45</v>
      </c>
      <c r="C11" s="6">
        <v>148.6</v>
      </c>
      <c r="D11" s="6"/>
      <c r="E11" s="6" t="str">
        <f t="shared" si="0"/>
        <v>Pre-COVID</v>
      </c>
    </row>
    <row r="12" spans="1:8" x14ac:dyDescent="0.35">
      <c r="A12" s="6">
        <v>2019</v>
      </c>
      <c r="B12" s="6" t="s">
        <v>46</v>
      </c>
      <c r="C12" s="6">
        <v>150.4</v>
      </c>
      <c r="D12" s="6"/>
      <c r="E12" s="6" t="str">
        <f t="shared" si="0"/>
        <v>Pre-COVID</v>
      </c>
    </row>
    <row r="13" spans="1:8" x14ac:dyDescent="0.35">
      <c r="A13" s="6">
        <v>2020</v>
      </c>
      <c r="B13" s="6" t="s">
        <v>31</v>
      </c>
      <c r="C13" s="6">
        <v>150.19999999999999</v>
      </c>
      <c r="D13" s="6">
        <f>IFERROR(ROUNDUP(((C13-C2)/C2)*100,2),"NA")</f>
        <v>7.6</v>
      </c>
      <c r="E13" s="6" t="str">
        <f t="shared" si="0"/>
        <v>Post-COVID</v>
      </c>
    </row>
    <row r="14" spans="1:8" x14ac:dyDescent="0.35">
      <c r="A14" s="6">
        <v>2020</v>
      </c>
      <c r="B14" s="6" t="s">
        <v>35</v>
      </c>
      <c r="C14" s="6">
        <v>149.1</v>
      </c>
      <c r="D14" s="6">
        <f t="shared" ref="D14:D53" si="1">IFERROR(ROUNDUP(((C14-C3)/C3)*100,2),"NA")</f>
        <v>6.58</v>
      </c>
      <c r="E14" s="6" t="str">
        <f t="shared" si="0"/>
        <v>Post-COVID</v>
      </c>
    </row>
    <row r="15" spans="1:8" x14ac:dyDescent="0.35">
      <c r="A15" s="6">
        <v>2020</v>
      </c>
      <c r="B15" s="6" t="s">
        <v>36</v>
      </c>
      <c r="C15" s="6">
        <v>148.6</v>
      </c>
      <c r="D15" s="6">
        <f t="shared" si="1"/>
        <v>5.85</v>
      </c>
      <c r="E15" s="6" t="str">
        <f t="shared" si="0"/>
        <v>Post-COVID</v>
      </c>
    </row>
    <row r="16" spans="1:8" x14ac:dyDescent="0.35">
      <c r="A16" s="6">
        <v>2020</v>
      </c>
      <c r="B16" s="6" t="s">
        <v>37</v>
      </c>
      <c r="C16" s="6">
        <v>0</v>
      </c>
      <c r="D16" s="6"/>
      <c r="E16" s="6" t="str">
        <f t="shared" si="0"/>
        <v>Post-COVID</v>
      </c>
    </row>
    <row r="17" spans="1:5" x14ac:dyDescent="0.35">
      <c r="A17" s="6">
        <v>2020</v>
      </c>
      <c r="B17" s="6" t="s">
        <v>38</v>
      </c>
      <c r="C17" s="6">
        <v>0</v>
      </c>
      <c r="D17" s="6"/>
      <c r="E17" s="6" t="str">
        <f t="shared" si="0"/>
        <v>Post-COVID</v>
      </c>
    </row>
    <row r="18" spans="1:5" x14ac:dyDescent="0.35">
      <c r="A18" s="6">
        <v>2020</v>
      </c>
      <c r="B18" s="6" t="s">
        <v>39</v>
      </c>
      <c r="C18" s="6">
        <v>151.80000000000001</v>
      </c>
      <c r="D18" s="6">
        <f t="shared" si="1"/>
        <v>5.2799999999999994</v>
      </c>
      <c r="E18" s="6" t="str">
        <f t="shared" si="0"/>
        <v>Post-COVID</v>
      </c>
    </row>
    <row r="19" spans="1:5" x14ac:dyDescent="0.35">
      <c r="A19" s="6">
        <v>2020</v>
      </c>
      <c r="B19" s="6" t="s">
        <v>40</v>
      </c>
      <c r="C19" s="6">
        <v>151.80000000000001</v>
      </c>
      <c r="D19" s="6">
        <f t="shared" si="1"/>
        <v>4.6899999999999995</v>
      </c>
      <c r="E19" s="6" t="str">
        <f t="shared" si="0"/>
        <v>Post-COVID</v>
      </c>
    </row>
    <row r="20" spans="1:5" x14ac:dyDescent="0.35">
      <c r="A20" s="6">
        <v>2020</v>
      </c>
      <c r="B20" s="6" t="s">
        <v>41</v>
      </c>
      <c r="C20" s="6">
        <v>153.9</v>
      </c>
      <c r="D20" s="6">
        <f t="shared" si="1"/>
        <v>5.56</v>
      </c>
      <c r="E20" s="6" t="str">
        <f t="shared" si="0"/>
        <v>Post-COVID</v>
      </c>
    </row>
    <row r="21" spans="1:5" x14ac:dyDescent="0.35">
      <c r="A21" s="6">
        <v>2020</v>
      </c>
      <c r="B21" s="6" t="s">
        <v>42</v>
      </c>
      <c r="C21" s="6">
        <v>154.69999999999999</v>
      </c>
      <c r="D21" s="6">
        <f t="shared" si="1"/>
        <v>5.0999999999999996</v>
      </c>
      <c r="E21" s="6" t="str">
        <f t="shared" si="0"/>
        <v>Post-COVID</v>
      </c>
    </row>
    <row r="22" spans="1:5" x14ac:dyDescent="0.35">
      <c r="A22" s="6">
        <v>2020</v>
      </c>
      <c r="B22" s="6" t="s">
        <v>43</v>
      </c>
      <c r="C22" s="6">
        <v>156.4</v>
      </c>
      <c r="D22" s="6">
        <f t="shared" si="1"/>
        <v>5.25</v>
      </c>
      <c r="E22" s="6" t="str">
        <f t="shared" si="0"/>
        <v>Post-COVID</v>
      </c>
    </row>
    <row r="23" spans="1:5" x14ac:dyDescent="0.35">
      <c r="A23" s="6">
        <v>2020</v>
      </c>
      <c r="B23" s="6" t="s">
        <v>45</v>
      </c>
      <c r="C23" s="6">
        <v>158.4</v>
      </c>
      <c r="D23" s="6">
        <f t="shared" si="1"/>
        <v>5.3199999999999994</v>
      </c>
      <c r="E23" s="6" t="str">
        <f t="shared" si="0"/>
        <v>Post-COVID</v>
      </c>
    </row>
    <row r="24" spans="1:5" x14ac:dyDescent="0.35">
      <c r="A24" s="6">
        <v>2020</v>
      </c>
      <c r="B24" s="6" t="s">
        <v>46</v>
      </c>
      <c r="C24" s="6">
        <v>158.9</v>
      </c>
      <c r="D24" s="6">
        <f t="shared" si="1"/>
        <v>5.8</v>
      </c>
      <c r="E24" s="6" t="str">
        <f t="shared" si="0"/>
        <v>Post-COVID</v>
      </c>
    </row>
    <row r="25" spans="1:5" x14ac:dyDescent="0.35">
      <c r="A25" s="6">
        <v>2021</v>
      </c>
      <c r="B25" s="6" t="s">
        <v>31</v>
      </c>
      <c r="C25" s="6">
        <v>157.30000000000001</v>
      </c>
      <c r="D25" s="6">
        <f t="shared" si="1"/>
        <v>5.5</v>
      </c>
      <c r="E25" s="6" t="str">
        <f t="shared" si="0"/>
        <v>Post-COVID</v>
      </c>
    </row>
    <row r="26" spans="1:5" x14ac:dyDescent="0.35">
      <c r="A26" s="6">
        <v>2021</v>
      </c>
      <c r="B26" s="6" t="s">
        <v>35</v>
      </c>
      <c r="C26" s="6">
        <v>156.6</v>
      </c>
      <c r="D26" s="6">
        <f t="shared" si="1"/>
        <v>5.39</v>
      </c>
      <c r="E26" s="6" t="str">
        <f t="shared" si="0"/>
        <v>Post-COVID</v>
      </c>
    </row>
    <row r="27" spans="1:5" x14ac:dyDescent="0.35">
      <c r="A27" s="6">
        <v>2021</v>
      </c>
      <c r="B27" s="6" t="s">
        <v>36</v>
      </c>
      <c r="C27" s="6">
        <v>156.80000000000001</v>
      </c>
      <c r="D27" s="6"/>
      <c r="E27" s="6" t="str">
        <f t="shared" si="0"/>
        <v>Post-COVID</v>
      </c>
    </row>
    <row r="28" spans="1:5" x14ac:dyDescent="0.35">
      <c r="A28" s="6">
        <v>2021</v>
      </c>
      <c r="B28" s="6" t="s">
        <v>37</v>
      </c>
      <c r="C28" s="6">
        <v>157.80000000000001</v>
      </c>
      <c r="D28" s="6"/>
      <c r="E28" s="6" t="str">
        <f t="shared" si="0"/>
        <v>Post-COVID</v>
      </c>
    </row>
    <row r="29" spans="1:5" x14ac:dyDescent="0.35">
      <c r="A29" s="6">
        <v>2021</v>
      </c>
      <c r="B29" s="6" t="s">
        <v>38</v>
      </c>
      <c r="C29" s="6">
        <v>160.4</v>
      </c>
      <c r="D29" s="6">
        <f t="shared" si="1"/>
        <v>5.67</v>
      </c>
      <c r="E29" s="6" t="str">
        <f t="shared" si="0"/>
        <v>Post-COVID</v>
      </c>
    </row>
    <row r="30" spans="1:5" x14ac:dyDescent="0.35">
      <c r="A30" s="6">
        <v>2021</v>
      </c>
      <c r="B30" s="6" t="s">
        <v>39</v>
      </c>
      <c r="C30" s="6">
        <v>161.30000000000001</v>
      </c>
      <c r="D30" s="6">
        <f t="shared" si="1"/>
        <v>6.26</v>
      </c>
      <c r="E30" s="6" t="str">
        <f t="shared" si="0"/>
        <v>Post-COVID</v>
      </c>
    </row>
    <row r="31" spans="1:5" x14ac:dyDescent="0.35">
      <c r="A31" s="6">
        <v>2021</v>
      </c>
      <c r="B31" s="6" t="s">
        <v>40</v>
      </c>
      <c r="C31" s="6">
        <v>162.5</v>
      </c>
      <c r="D31" s="6">
        <f t="shared" si="1"/>
        <v>5.59</v>
      </c>
      <c r="E31" s="6" t="str">
        <f t="shared" si="0"/>
        <v>Post-COVID</v>
      </c>
    </row>
    <row r="32" spans="1:5" x14ac:dyDescent="0.35">
      <c r="A32" s="6">
        <v>2021</v>
      </c>
      <c r="B32" s="6" t="s">
        <v>41</v>
      </c>
      <c r="C32" s="6">
        <v>163.19999999999999</v>
      </c>
      <c r="D32" s="6">
        <f t="shared" si="1"/>
        <v>5.5</v>
      </c>
      <c r="E32" s="6" t="str">
        <f t="shared" si="0"/>
        <v>Post-COVID</v>
      </c>
    </row>
    <row r="33" spans="1:5" x14ac:dyDescent="0.35">
      <c r="A33" s="6">
        <v>2021</v>
      </c>
      <c r="B33" s="6" t="s">
        <v>42</v>
      </c>
      <c r="C33" s="6">
        <v>163.19999999999999</v>
      </c>
      <c r="D33" s="6">
        <f t="shared" si="1"/>
        <v>4.3499999999999996</v>
      </c>
      <c r="E33" s="6" t="str">
        <f t="shared" si="0"/>
        <v>Post-COVID</v>
      </c>
    </row>
    <row r="34" spans="1:5" x14ac:dyDescent="0.35">
      <c r="A34" s="6">
        <v>2021</v>
      </c>
      <c r="B34" s="6" t="s">
        <v>43</v>
      </c>
      <c r="C34" s="6">
        <v>165.5</v>
      </c>
      <c r="D34" s="6">
        <f t="shared" si="1"/>
        <v>4.49</v>
      </c>
      <c r="E34" s="6" t="str">
        <f t="shared" ref="E34:E53" si="2">IF(AND(A34=2020,B34="March"),"Post-COVID",IF(A34&lt;2020, "Pre-COVID", "Post-COVID"))</f>
        <v>Post-COVID</v>
      </c>
    </row>
    <row r="35" spans="1:5" x14ac:dyDescent="0.35">
      <c r="A35" s="6">
        <v>2021</v>
      </c>
      <c r="B35" s="6" t="s">
        <v>45</v>
      </c>
      <c r="C35" s="6">
        <v>166.7</v>
      </c>
      <c r="D35" s="6">
        <f t="shared" si="1"/>
        <v>4.91</v>
      </c>
      <c r="E35" s="6" t="str">
        <f t="shared" si="2"/>
        <v>Post-COVID</v>
      </c>
    </row>
    <row r="36" spans="1:5" x14ac:dyDescent="0.35">
      <c r="A36" s="6">
        <v>2021</v>
      </c>
      <c r="B36" s="6" t="s">
        <v>46</v>
      </c>
      <c r="C36" s="6">
        <v>166.2</v>
      </c>
      <c r="D36" s="6">
        <f t="shared" si="1"/>
        <v>5.66</v>
      </c>
      <c r="E36" s="6" t="str">
        <f t="shared" si="2"/>
        <v>Post-COVID</v>
      </c>
    </row>
    <row r="37" spans="1:5" x14ac:dyDescent="0.35">
      <c r="A37" s="6">
        <v>2022</v>
      </c>
      <c r="B37" s="6" t="s">
        <v>31</v>
      </c>
      <c r="C37" s="6">
        <v>165.7</v>
      </c>
      <c r="D37" s="6">
        <f t="shared" si="1"/>
        <v>5.8199999999999994</v>
      </c>
      <c r="E37" s="6" t="str">
        <f t="shared" si="2"/>
        <v>Post-COVID</v>
      </c>
    </row>
    <row r="38" spans="1:5" x14ac:dyDescent="0.35">
      <c r="A38" s="6">
        <v>2022</v>
      </c>
      <c r="B38" s="6" t="s">
        <v>35</v>
      </c>
      <c r="C38" s="6">
        <v>166.1</v>
      </c>
      <c r="D38" s="6">
        <f t="shared" si="1"/>
        <v>5.9399999999999995</v>
      </c>
      <c r="E38" s="6" t="str">
        <f t="shared" si="2"/>
        <v>Post-COVID</v>
      </c>
    </row>
    <row r="39" spans="1:5" x14ac:dyDescent="0.35">
      <c r="A39" s="6">
        <v>2022</v>
      </c>
      <c r="B39" s="6" t="s">
        <v>36</v>
      </c>
      <c r="C39" s="6">
        <v>167.7</v>
      </c>
      <c r="D39" s="6">
        <f t="shared" si="1"/>
        <v>6.2799999999999994</v>
      </c>
      <c r="E39" s="6" t="str">
        <f t="shared" si="2"/>
        <v>Post-COVID</v>
      </c>
    </row>
    <row r="40" spans="1:5" x14ac:dyDescent="0.35">
      <c r="A40" s="6">
        <v>2022</v>
      </c>
      <c r="B40" s="6" t="s">
        <v>37</v>
      </c>
      <c r="C40" s="6">
        <v>170.1</v>
      </c>
      <c r="D40" s="6">
        <f t="shared" si="1"/>
        <v>6.05</v>
      </c>
      <c r="E40" s="6" t="str">
        <f t="shared" si="2"/>
        <v>Post-COVID</v>
      </c>
    </row>
    <row r="41" spans="1:5" x14ac:dyDescent="0.35">
      <c r="A41" s="6">
        <v>2022</v>
      </c>
      <c r="B41" s="6" t="s">
        <v>38</v>
      </c>
      <c r="C41" s="6">
        <v>171.7</v>
      </c>
      <c r="D41" s="6">
        <f t="shared" si="1"/>
        <v>6.45</v>
      </c>
      <c r="E41" s="6" t="str">
        <f t="shared" si="2"/>
        <v>Post-COVID</v>
      </c>
    </row>
    <row r="42" spans="1:5" x14ac:dyDescent="0.35">
      <c r="A42" s="6">
        <v>2022</v>
      </c>
      <c r="B42" s="6" t="s">
        <v>39</v>
      </c>
      <c r="C42" s="6">
        <v>172.6</v>
      </c>
      <c r="D42" s="6">
        <f t="shared" si="1"/>
        <v>6.22</v>
      </c>
      <c r="E42" s="6" t="str">
        <f t="shared" si="2"/>
        <v>Post-COVID</v>
      </c>
    </row>
    <row r="43" spans="1:5" x14ac:dyDescent="0.35">
      <c r="A43" s="6">
        <v>2022</v>
      </c>
      <c r="B43" s="6" t="s">
        <v>40</v>
      </c>
      <c r="C43" s="6">
        <v>173.4</v>
      </c>
      <c r="D43" s="6">
        <f t="shared" si="1"/>
        <v>6.26</v>
      </c>
      <c r="E43" s="6" t="str">
        <f t="shared" si="2"/>
        <v>Post-COVID</v>
      </c>
    </row>
    <row r="44" spans="1:5" x14ac:dyDescent="0.35">
      <c r="A44" s="6">
        <v>2022</v>
      </c>
      <c r="B44" s="6" t="s">
        <v>41</v>
      </c>
      <c r="C44" s="6">
        <v>174.3</v>
      </c>
      <c r="D44" s="6">
        <f t="shared" si="1"/>
        <v>6.81</v>
      </c>
      <c r="E44" s="6" t="str">
        <f t="shared" si="2"/>
        <v>Post-COVID</v>
      </c>
    </row>
    <row r="45" spans="1:5" x14ac:dyDescent="0.35">
      <c r="A45" s="6">
        <v>2022</v>
      </c>
      <c r="B45" s="6" t="s">
        <v>42</v>
      </c>
      <c r="C45" s="6">
        <v>175.3</v>
      </c>
      <c r="D45" s="6">
        <f t="shared" si="1"/>
        <v>5.93</v>
      </c>
      <c r="E45" s="6" t="str">
        <f t="shared" si="2"/>
        <v>Post-COVID</v>
      </c>
    </row>
    <row r="46" spans="1:5" x14ac:dyDescent="0.35">
      <c r="A46" s="6">
        <v>2022</v>
      </c>
      <c r="B46" s="6" t="s">
        <v>43</v>
      </c>
      <c r="C46" s="6">
        <v>176.7</v>
      </c>
      <c r="D46" s="6">
        <f t="shared" si="1"/>
        <v>6</v>
      </c>
      <c r="E46" s="6" t="str">
        <f t="shared" si="2"/>
        <v>Post-COVID</v>
      </c>
    </row>
    <row r="47" spans="1:5" x14ac:dyDescent="0.35">
      <c r="A47" s="6">
        <v>2022</v>
      </c>
      <c r="B47" s="6" t="s">
        <v>45</v>
      </c>
      <c r="C47" s="6">
        <v>176.5</v>
      </c>
      <c r="D47" s="6">
        <f t="shared" si="1"/>
        <v>6.2</v>
      </c>
      <c r="E47" s="6" t="str">
        <f t="shared" si="2"/>
        <v>Post-COVID</v>
      </c>
    </row>
    <row r="48" spans="1:5" x14ac:dyDescent="0.35">
      <c r="A48" s="6">
        <v>2022</v>
      </c>
      <c r="B48" s="6" t="s">
        <v>46</v>
      </c>
      <c r="C48" s="6">
        <v>175.7</v>
      </c>
      <c r="D48" s="6">
        <f t="shared" si="1"/>
        <v>6.04</v>
      </c>
      <c r="E48" s="6" t="str">
        <f t="shared" si="2"/>
        <v>Post-COVID</v>
      </c>
    </row>
    <row r="49" spans="1:5" x14ac:dyDescent="0.35">
      <c r="A49" s="6">
        <v>2023</v>
      </c>
      <c r="B49" s="6" t="s">
        <v>31</v>
      </c>
      <c r="C49" s="6">
        <v>176.5</v>
      </c>
      <c r="D49" s="6">
        <f t="shared" si="1"/>
        <v>6.27</v>
      </c>
      <c r="E49" s="6" t="str">
        <f t="shared" si="2"/>
        <v>Post-COVID</v>
      </c>
    </row>
    <row r="50" spans="1:5" x14ac:dyDescent="0.35">
      <c r="A50" s="6">
        <v>2023</v>
      </c>
      <c r="B50" s="6" t="s">
        <v>35</v>
      </c>
      <c r="C50" s="6">
        <v>177.2</v>
      </c>
      <c r="D50" s="6">
        <f t="shared" si="1"/>
        <v>5.67</v>
      </c>
      <c r="E50" s="6" t="str">
        <f t="shared" si="2"/>
        <v>Post-COVID</v>
      </c>
    </row>
    <row r="51" spans="1:5" x14ac:dyDescent="0.35">
      <c r="A51" s="6">
        <v>2023</v>
      </c>
      <c r="B51" s="6" t="s">
        <v>36</v>
      </c>
      <c r="C51" s="6">
        <v>177.2</v>
      </c>
      <c r="D51" s="6">
        <f t="shared" si="1"/>
        <v>4.18</v>
      </c>
      <c r="E51" s="6" t="str">
        <f t="shared" si="2"/>
        <v>Post-COVID</v>
      </c>
    </row>
    <row r="52" spans="1:5" x14ac:dyDescent="0.35">
      <c r="A52" s="6">
        <v>2023</v>
      </c>
      <c r="B52" s="6" t="s">
        <v>37</v>
      </c>
      <c r="C52" s="6">
        <v>178.1</v>
      </c>
      <c r="D52" s="6">
        <f t="shared" si="1"/>
        <v>3.73</v>
      </c>
      <c r="E52" s="6" t="str">
        <f t="shared" si="2"/>
        <v>Post-COVID</v>
      </c>
    </row>
    <row r="53" spans="1:5" x14ac:dyDescent="0.35">
      <c r="A53" s="6">
        <v>2023</v>
      </c>
      <c r="B53" s="6" t="s">
        <v>38</v>
      </c>
      <c r="C53" s="6">
        <v>179.1</v>
      </c>
      <c r="D53" s="6">
        <f t="shared" si="1"/>
        <v>3.7699999999999996</v>
      </c>
      <c r="E53" s="6" t="str">
        <f t="shared" si="2"/>
        <v>Post-COVID</v>
      </c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444C-13F0-4CB7-B987-CDB438AB2423}">
  <dimension ref="A1:F53"/>
  <sheetViews>
    <sheetView topLeftCell="A35" workbookViewId="0">
      <selection activeCell="G7" sqref="G7"/>
    </sheetView>
  </sheetViews>
  <sheetFormatPr defaultRowHeight="14.5" x14ac:dyDescent="0.35"/>
  <cols>
    <col min="1" max="1" width="6.81640625" bestFit="1" customWidth="1"/>
    <col min="2" max="2" width="9.6328125" bestFit="1" customWidth="1"/>
    <col min="3" max="3" width="12.7265625" bestFit="1" customWidth="1"/>
    <col min="4" max="4" width="14.6328125" bestFit="1" customWidth="1"/>
    <col min="5" max="5" width="17" bestFit="1" customWidth="1"/>
    <col min="6" max="6" width="10.54296875" bestFit="1" customWidth="1"/>
  </cols>
  <sheetData>
    <row r="1" spans="1:6" x14ac:dyDescent="0.35">
      <c r="A1" t="s">
        <v>1</v>
      </c>
      <c r="B1" t="s">
        <v>2</v>
      </c>
      <c r="C1" t="s">
        <v>82</v>
      </c>
      <c r="D1" t="s">
        <v>29</v>
      </c>
      <c r="E1" t="s">
        <v>77</v>
      </c>
      <c r="F1" t="s">
        <v>78</v>
      </c>
    </row>
    <row r="2" spans="1:6" x14ac:dyDescent="0.35">
      <c r="A2" s="6">
        <v>2019</v>
      </c>
      <c r="B2" s="6" t="s">
        <v>31</v>
      </c>
      <c r="C2" s="6" t="str">
        <f>TEXT(DATE(A2,MONTH(1&amp;B2),1),"mmm-yyyy")</f>
        <v>Jan-2019</v>
      </c>
      <c r="D2" s="6">
        <v>139.6</v>
      </c>
      <c r="E2" s="6"/>
      <c r="F2" s="6" t="str">
        <f t="shared" ref="F2:F53" si="0">IF(AND(A2=2020,B2="March"),"Post-COVID",IF(A2&lt;2020, "Pre-COVID", "Post-COVID"))</f>
        <v>Pre-COVID</v>
      </c>
    </row>
    <row r="3" spans="1:6" x14ac:dyDescent="0.35">
      <c r="A3" s="6">
        <v>2019</v>
      </c>
      <c r="B3" s="6" t="s">
        <v>35</v>
      </c>
      <c r="C3" s="6" t="str">
        <f t="shared" ref="C2:C33" si="1">TEXT(DATE(A3,MONTH(1&amp;B3),1),"mmm-yyyy")</f>
        <v>Feb-2019</v>
      </c>
      <c r="D3" s="6">
        <v>139.9</v>
      </c>
      <c r="E3" s="6"/>
      <c r="F3" s="6" t="str">
        <f t="shared" si="0"/>
        <v>Pre-COVID</v>
      </c>
    </row>
    <row r="4" spans="1:6" x14ac:dyDescent="0.35">
      <c r="A4" s="6">
        <v>2019</v>
      </c>
      <c r="B4" s="6" t="s">
        <v>36</v>
      </c>
      <c r="C4" s="6" t="str">
        <f t="shared" si="1"/>
        <v>Mar-2019</v>
      </c>
      <c r="D4" s="6">
        <v>140.4</v>
      </c>
      <c r="E4" s="6"/>
      <c r="F4" s="6" t="str">
        <f t="shared" si="0"/>
        <v>Pre-COVID</v>
      </c>
    </row>
    <row r="5" spans="1:6" x14ac:dyDescent="0.35">
      <c r="A5" s="6">
        <v>2019</v>
      </c>
      <c r="B5" s="6" t="s">
        <v>38</v>
      </c>
      <c r="C5" s="6" t="str">
        <f t="shared" si="1"/>
        <v>May-2019</v>
      </c>
      <c r="D5" s="6">
        <v>142</v>
      </c>
      <c r="E5" s="6"/>
      <c r="F5" s="6" t="str">
        <f t="shared" si="0"/>
        <v>Pre-COVID</v>
      </c>
    </row>
    <row r="6" spans="1:6" x14ac:dyDescent="0.35">
      <c r="A6" s="6">
        <v>2019</v>
      </c>
      <c r="B6" s="6" t="s">
        <v>39</v>
      </c>
      <c r="C6" s="6" t="str">
        <f t="shared" si="1"/>
        <v>Jun-2019</v>
      </c>
      <c r="D6" s="6">
        <v>142.9</v>
      </c>
      <c r="E6" s="6"/>
      <c r="F6" s="6" t="str">
        <f t="shared" si="0"/>
        <v>Pre-COVID</v>
      </c>
    </row>
    <row r="7" spans="1:6" x14ac:dyDescent="0.35">
      <c r="A7" s="6">
        <v>2019</v>
      </c>
      <c r="B7" s="6" t="s">
        <v>40</v>
      </c>
      <c r="C7" s="6" t="str">
        <f t="shared" si="1"/>
        <v>Jul-2019</v>
      </c>
      <c r="D7" s="6">
        <v>144.19999999999999</v>
      </c>
      <c r="E7" s="6"/>
      <c r="F7" s="6" t="str">
        <f t="shared" si="0"/>
        <v>Pre-COVID</v>
      </c>
    </row>
    <row r="8" spans="1:6" x14ac:dyDescent="0.35">
      <c r="A8" s="6">
        <v>2019</v>
      </c>
      <c r="B8" s="6" t="s">
        <v>41</v>
      </c>
      <c r="C8" s="6" t="str">
        <f t="shared" si="1"/>
        <v>Aug-2019</v>
      </c>
      <c r="D8" s="6">
        <v>145</v>
      </c>
      <c r="E8" s="6"/>
      <c r="F8" s="6" t="str">
        <f t="shared" si="0"/>
        <v>Pre-COVID</v>
      </c>
    </row>
    <row r="9" spans="1:6" x14ac:dyDescent="0.35">
      <c r="A9" s="6">
        <v>2019</v>
      </c>
      <c r="B9" s="6" t="s">
        <v>42</v>
      </c>
      <c r="C9" s="6" t="str">
        <f t="shared" si="1"/>
        <v>Sep-2019</v>
      </c>
      <c r="D9" s="6">
        <v>145.80000000000001</v>
      </c>
      <c r="E9" s="6"/>
      <c r="F9" s="6" t="str">
        <f t="shared" si="0"/>
        <v>Pre-COVID</v>
      </c>
    </row>
    <row r="10" spans="1:6" x14ac:dyDescent="0.35">
      <c r="A10" s="6">
        <v>2019</v>
      </c>
      <c r="B10" s="6" t="s">
        <v>43</v>
      </c>
      <c r="C10" s="6" t="str">
        <f t="shared" si="1"/>
        <v>Oct-2019</v>
      </c>
      <c r="D10" s="6">
        <v>147.19999999999999</v>
      </c>
      <c r="E10" s="6"/>
      <c r="F10" s="6" t="str">
        <f t="shared" si="0"/>
        <v>Pre-COVID</v>
      </c>
    </row>
    <row r="11" spans="1:6" x14ac:dyDescent="0.35">
      <c r="A11" s="6">
        <v>2019</v>
      </c>
      <c r="B11" s="6" t="s">
        <v>45</v>
      </c>
      <c r="C11" s="6" t="str">
        <f t="shared" si="1"/>
        <v>Nov-2019</v>
      </c>
      <c r="D11" s="6">
        <v>148.6</v>
      </c>
      <c r="E11" s="6"/>
      <c r="F11" s="6" t="str">
        <f t="shared" si="0"/>
        <v>Pre-COVID</v>
      </c>
    </row>
    <row r="12" spans="1:6" x14ac:dyDescent="0.35">
      <c r="A12" s="6">
        <v>2019</v>
      </c>
      <c r="B12" s="6" t="s">
        <v>46</v>
      </c>
      <c r="C12" s="6" t="str">
        <f t="shared" si="1"/>
        <v>Dec-2019</v>
      </c>
      <c r="D12" s="6">
        <v>150.4</v>
      </c>
      <c r="E12" s="6"/>
      <c r="F12" s="6" t="str">
        <f t="shared" si="0"/>
        <v>Pre-COVID</v>
      </c>
    </row>
    <row r="13" spans="1:6" x14ac:dyDescent="0.35">
      <c r="A13" s="6">
        <v>2020</v>
      </c>
      <c r="B13" s="6" t="s">
        <v>31</v>
      </c>
      <c r="C13" s="6" t="str">
        <f t="shared" si="1"/>
        <v>Jan-2020</v>
      </c>
      <c r="D13" s="6">
        <v>150.19999999999999</v>
      </c>
      <c r="E13" s="6">
        <f>IFERROR(ROUNDUP(((D14-D3)/D3)*100,2),"NA")</f>
        <v>6.58</v>
      </c>
      <c r="F13" s="6" t="str">
        <f t="shared" si="0"/>
        <v>Post-COVID</v>
      </c>
    </row>
    <row r="14" spans="1:6" x14ac:dyDescent="0.35">
      <c r="A14" s="6">
        <v>2020</v>
      </c>
      <c r="B14" s="6" t="s">
        <v>35</v>
      </c>
      <c r="C14" s="6" t="str">
        <f t="shared" si="1"/>
        <v>Feb-2020</v>
      </c>
      <c r="D14" s="6">
        <v>149.1</v>
      </c>
      <c r="E14" s="6">
        <f t="shared" ref="E14:E53" si="2">IFERROR(ROUNDUP(((D15-D4)/D4)*100,2),"NA")</f>
        <v>5.85</v>
      </c>
      <c r="F14" s="6" t="str">
        <f t="shared" si="0"/>
        <v>Post-COVID</v>
      </c>
    </row>
    <row r="15" spans="1:6" x14ac:dyDescent="0.35">
      <c r="A15" s="6">
        <v>2020</v>
      </c>
      <c r="B15" s="6" t="s">
        <v>36</v>
      </c>
      <c r="C15" s="6" t="str">
        <f t="shared" si="1"/>
        <v>Mar-2020</v>
      </c>
      <c r="D15" s="6">
        <v>148.6</v>
      </c>
      <c r="E15" s="6"/>
      <c r="F15" s="6" t="str">
        <f t="shared" si="0"/>
        <v>Post-COVID</v>
      </c>
    </row>
    <row r="16" spans="1:6" x14ac:dyDescent="0.35">
      <c r="A16" s="6">
        <v>2020</v>
      </c>
      <c r="B16" s="6" t="s">
        <v>37</v>
      </c>
      <c r="C16" s="6" t="str">
        <f t="shared" si="1"/>
        <v>Apr-2020</v>
      </c>
      <c r="D16" s="6">
        <v>0</v>
      </c>
      <c r="E16" s="6"/>
      <c r="F16" s="6" t="str">
        <f t="shared" si="0"/>
        <v>Post-COVID</v>
      </c>
    </row>
    <row r="17" spans="1:6" x14ac:dyDescent="0.35">
      <c r="A17" s="6">
        <v>2020</v>
      </c>
      <c r="B17" s="6" t="s">
        <v>38</v>
      </c>
      <c r="C17" s="6" t="str">
        <f t="shared" si="1"/>
        <v>May-2020</v>
      </c>
      <c r="D17" s="6">
        <v>0</v>
      </c>
      <c r="E17" s="6">
        <f t="shared" si="2"/>
        <v>5.2799999999999994</v>
      </c>
      <c r="F17" s="6" t="str">
        <f t="shared" si="0"/>
        <v>Post-COVID</v>
      </c>
    </row>
    <row r="18" spans="1:6" x14ac:dyDescent="0.35">
      <c r="A18" s="6">
        <v>2020</v>
      </c>
      <c r="B18" s="6" t="s">
        <v>39</v>
      </c>
      <c r="C18" s="6" t="str">
        <f t="shared" si="1"/>
        <v>Jun-2020</v>
      </c>
      <c r="D18" s="6">
        <v>151.80000000000001</v>
      </c>
      <c r="E18" s="6">
        <f t="shared" si="2"/>
        <v>4.6899999999999995</v>
      </c>
      <c r="F18" s="6" t="str">
        <f t="shared" si="0"/>
        <v>Post-COVID</v>
      </c>
    </row>
    <row r="19" spans="1:6" x14ac:dyDescent="0.35">
      <c r="A19" s="6">
        <v>2020</v>
      </c>
      <c r="B19" s="6" t="s">
        <v>40</v>
      </c>
      <c r="C19" s="6" t="str">
        <f t="shared" si="1"/>
        <v>Jul-2020</v>
      </c>
      <c r="D19" s="6">
        <v>151.80000000000001</v>
      </c>
      <c r="E19" s="6">
        <f t="shared" si="2"/>
        <v>5.56</v>
      </c>
      <c r="F19" s="6" t="str">
        <f t="shared" si="0"/>
        <v>Post-COVID</v>
      </c>
    </row>
    <row r="20" spans="1:6" x14ac:dyDescent="0.35">
      <c r="A20" s="6">
        <v>2020</v>
      </c>
      <c r="B20" s="6" t="s">
        <v>41</v>
      </c>
      <c r="C20" s="6" t="str">
        <f t="shared" si="1"/>
        <v>Aug-2020</v>
      </c>
      <c r="D20" s="6">
        <v>153.9</v>
      </c>
      <c r="E20" s="6">
        <f t="shared" si="2"/>
        <v>5.0999999999999996</v>
      </c>
      <c r="F20" s="6" t="str">
        <f t="shared" si="0"/>
        <v>Post-COVID</v>
      </c>
    </row>
    <row r="21" spans="1:6" x14ac:dyDescent="0.35">
      <c r="A21" s="6">
        <v>2020</v>
      </c>
      <c r="B21" s="6" t="s">
        <v>42</v>
      </c>
      <c r="C21" s="6" t="str">
        <f t="shared" si="1"/>
        <v>Sep-2020</v>
      </c>
      <c r="D21" s="6">
        <v>154.69999999999999</v>
      </c>
      <c r="E21" s="6">
        <f t="shared" si="2"/>
        <v>5.25</v>
      </c>
      <c r="F21" s="6" t="str">
        <f t="shared" si="0"/>
        <v>Post-COVID</v>
      </c>
    </row>
    <row r="22" spans="1:6" x14ac:dyDescent="0.35">
      <c r="A22" s="6">
        <v>2020</v>
      </c>
      <c r="B22" s="6" t="s">
        <v>43</v>
      </c>
      <c r="C22" s="6" t="str">
        <f t="shared" si="1"/>
        <v>Oct-2020</v>
      </c>
      <c r="D22" s="6">
        <v>156.4</v>
      </c>
      <c r="E22" s="6">
        <f t="shared" si="2"/>
        <v>5.3199999999999994</v>
      </c>
      <c r="F22" s="6" t="str">
        <f t="shared" si="0"/>
        <v>Post-COVID</v>
      </c>
    </row>
    <row r="23" spans="1:6" x14ac:dyDescent="0.35">
      <c r="A23" s="6">
        <v>2020</v>
      </c>
      <c r="B23" s="6" t="s">
        <v>45</v>
      </c>
      <c r="C23" s="6" t="str">
        <f t="shared" si="1"/>
        <v>Nov-2020</v>
      </c>
      <c r="D23" s="6">
        <v>158.4</v>
      </c>
      <c r="E23" s="6">
        <f t="shared" si="2"/>
        <v>5.8</v>
      </c>
      <c r="F23" s="6" t="str">
        <f t="shared" si="0"/>
        <v>Post-COVID</v>
      </c>
    </row>
    <row r="24" spans="1:6" x14ac:dyDescent="0.35">
      <c r="A24" s="6">
        <v>2020</v>
      </c>
      <c r="B24" s="6" t="s">
        <v>46</v>
      </c>
      <c r="C24" s="6" t="str">
        <f t="shared" si="1"/>
        <v>Dec-2020</v>
      </c>
      <c r="D24" s="6">
        <v>158.9</v>
      </c>
      <c r="E24" s="6">
        <f t="shared" si="2"/>
        <v>5.5</v>
      </c>
      <c r="F24" s="6" t="str">
        <f t="shared" si="0"/>
        <v>Post-COVID</v>
      </c>
    </row>
    <row r="25" spans="1:6" x14ac:dyDescent="0.35">
      <c r="A25" s="6">
        <v>2021</v>
      </c>
      <c r="B25" s="6" t="s">
        <v>31</v>
      </c>
      <c r="C25" s="6" t="str">
        <f t="shared" si="1"/>
        <v>Jan-2021</v>
      </c>
      <c r="D25" s="6">
        <v>157.30000000000001</v>
      </c>
      <c r="E25" s="6">
        <f t="shared" si="2"/>
        <v>5.39</v>
      </c>
      <c r="F25" s="6" t="str">
        <f t="shared" si="0"/>
        <v>Post-COVID</v>
      </c>
    </row>
    <row r="26" spans="1:6" x14ac:dyDescent="0.35">
      <c r="A26" s="6">
        <v>2021</v>
      </c>
      <c r="B26" s="6" t="s">
        <v>35</v>
      </c>
      <c r="C26" s="6" t="str">
        <f t="shared" si="1"/>
        <v>Feb-2021</v>
      </c>
      <c r="D26" s="6">
        <v>156.6</v>
      </c>
      <c r="E26" s="6"/>
      <c r="F26" s="6" t="str">
        <f t="shared" si="0"/>
        <v>Post-COVID</v>
      </c>
    </row>
    <row r="27" spans="1:6" x14ac:dyDescent="0.35">
      <c r="A27" s="6">
        <v>2021</v>
      </c>
      <c r="B27" s="6" t="s">
        <v>36</v>
      </c>
      <c r="C27" s="6" t="str">
        <f t="shared" si="1"/>
        <v>Mar-2021</v>
      </c>
      <c r="D27" s="6">
        <v>156.80000000000001</v>
      </c>
      <c r="E27" s="6"/>
      <c r="F27" s="6" t="str">
        <f t="shared" si="0"/>
        <v>Post-COVID</v>
      </c>
    </row>
    <row r="28" spans="1:6" x14ac:dyDescent="0.35">
      <c r="A28" s="6">
        <v>2021</v>
      </c>
      <c r="B28" s="6" t="s">
        <v>37</v>
      </c>
      <c r="C28" s="6" t="str">
        <f t="shared" si="1"/>
        <v>Apr-2021</v>
      </c>
      <c r="D28" s="6">
        <v>157.80000000000001</v>
      </c>
      <c r="E28" s="6">
        <f t="shared" si="2"/>
        <v>5.67</v>
      </c>
      <c r="F28" s="6" t="str">
        <f t="shared" si="0"/>
        <v>Post-COVID</v>
      </c>
    </row>
    <row r="29" spans="1:6" x14ac:dyDescent="0.35">
      <c r="A29" s="6">
        <v>2021</v>
      </c>
      <c r="B29" s="6" t="s">
        <v>38</v>
      </c>
      <c r="C29" s="6" t="str">
        <f t="shared" si="1"/>
        <v>May-2021</v>
      </c>
      <c r="D29" s="6">
        <v>160.4</v>
      </c>
      <c r="E29" s="6">
        <f t="shared" si="2"/>
        <v>6.26</v>
      </c>
      <c r="F29" s="6" t="str">
        <f t="shared" si="0"/>
        <v>Post-COVID</v>
      </c>
    </row>
    <row r="30" spans="1:6" x14ac:dyDescent="0.35">
      <c r="A30" s="6">
        <v>2021</v>
      </c>
      <c r="B30" s="6" t="s">
        <v>39</v>
      </c>
      <c r="C30" s="6" t="str">
        <f t="shared" si="1"/>
        <v>Jun-2021</v>
      </c>
      <c r="D30" s="6">
        <v>161.30000000000001</v>
      </c>
      <c r="E30" s="6">
        <f t="shared" si="2"/>
        <v>5.59</v>
      </c>
      <c r="F30" s="6" t="str">
        <f t="shared" si="0"/>
        <v>Post-COVID</v>
      </c>
    </row>
    <row r="31" spans="1:6" x14ac:dyDescent="0.35">
      <c r="A31" s="6">
        <v>2021</v>
      </c>
      <c r="B31" s="6" t="s">
        <v>40</v>
      </c>
      <c r="C31" s="6" t="str">
        <f t="shared" si="1"/>
        <v>Jul-2021</v>
      </c>
      <c r="D31" s="6">
        <v>162.5</v>
      </c>
      <c r="E31" s="6">
        <f t="shared" si="2"/>
        <v>5.5</v>
      </c>
      <c r="F31" s="6" t="str">
        <f t="shared" si="0"/>
        <v>Post-COVID</v>
      </c>
    </row>
    <row r="32" spans="1:6" x14ac:dyDescent="0.35">
      <c r="A32" s="6">
        <v>2021</v>
      </c>
      <c r="B32" s="6" t="s">
        <v>41</v>
      </c>
      <c r="C32" s="6" t="str">
        <f t="shared" si="1"/>
        <v>Aug-2021</v>
      </c>
      <c r="D32" s="6">
        <v>163.19999999999999</v>
      </c>
      <c r="E32" s="6">
        <f t="shared" si="2"/>
        <v>4.3499999999999996</v>
      </c>
      <c r="F32" s="6" t="str">
        <f t="shared" si="0"/>
        <v>Post-COVID</v>
      </c>
    </row>
    <row r="33" spans="1:6" x14ac:dyDescent="0.35">
      <c r="A33" s="6">
        <v>2021</v>
      </c>
      <c r="B33" s="6" t="s">
        <v>42</v>
      </c>
      <c r="C33" s="6" t="str">
        <f t="shared" si="1"/>
        <v>Sep-2021</v>
      </c>
      <c r="D33" s="6">
        <v>163.19999999999999</v>
      </c>
      <c r="E33" s="6">
        <f t="shared" si="2"/>
        <v>4.49</v>
      </c>
      <c r="F33" s="6" t="str">
        <f t="shared" si="0"/>
        <v>Post-COVID</v>
      </c>
    </row>
    <row r="34" spans="1:6" x14ac:dyDescent="0.35">
      <c r="A34" s="6">
        <v>2021</v>
      </c>
      <c r="B34" s="6" t="s">
        <v>43</v>
      </c>
      <c r="C34" s="6" t="str">
        <f t="shared" ref="C34:C53" si="3">TEXT(DATE(A34,MONTH(1&amp;B34),1),"mmm-yyyy")</f>
        <v>Oct-2021</v>
      </c>
      <c r="D34" s="6">
        <v>165.5</v>
      </c>
      <c r="E34" s="6">
        <f t="shared" si="2"/>
        <v>4.91</v>
      </c>
      <c r="F34" s="6" t="str">
        <f t="shared" si="0"/>
        <v>Post-COVID</v>
      </c>
    </row>
    <row r="35" spans="1:6" x14ac:dyDescent="0.35">
      <c r="A35" s="6">
        <v>2021</v>
      </c>
      <c r="B35" s="6" t="s">
        <v>45</v>
      </c>
      <c r="C35" s="6" t="str">
        <f t="shared" si="3"/>
        <v>Nov-2021</v>
      </c>
      <c r="D35" s="6">
        <v>166.7</v>
      </c>
      <c r="E35" s="6">
        <f t="shared" si="2"/>
        <v>5.66</v>
      </c>
      <c r="F35" s="6" t="str">
        <f t="shared" si="0"/>
        <v>Post-COVID</v>
      </c>
    </row>
    <row r="36" spans="1:6" x14ac:dyDescent="0.35">
      <c r="A36" s="6">
        <v>2021</v>
      </c>
      <c r="B36" s="6" t="s">
        <v>46</v>
      </c>
      <c r="C36" s="6" t="str">
        <f t="shared" si="3"/>
        <v>Dec-2021</v>
      </c>
      <c r="D36" s="6">
        <v>166.2</v>
      </c>
      <c r="E36" s="6">
        <f t="shared" si="2"/>
        <v>5.8199999999999994</v>
      </c>
      <c r="F36" s="6" t="str">
        <f t="shared" si="0"/>
        <v>Post-COVID</v>
      </c>
    </row>
    <row r="37" spans="1:6" x14ac:dyDescent="0.35">
      <c r="A37" s="6">
        <v>2022</v>
      </c>
      <c r="B37" s="6" t="s">
        <v>31</v>
      </c>
      <c r="C37" s="6" t="str">
        <f t="shared" si="3"/>
        <v>Jan-2022</v>
      </c>
      <c r="D37" s="6">
        <v>165.7</v>
      </c>
      <c r="E37" s="6">
        <f t="shared" si="2"/>
        <v>5.9399999999999995</v>
      </c>
      <c r="F37" s="6" t="str">
        <f t="shared" si="0"/>
        <v>Post-COVID</v>
      </c>
    </row>
    <row r="38" spans="1:6" x14ac:dyDescent="0.35">
      <c r="A38" s="6">
        <v>2022</v>
      </c>
      <c r="B38" s="6" t="s">
        <v>35</v>
      </c>
      <c r="C38" s="6" t="str">
        <f t="shared" si="3"/>
        <v>Feb-2022</v>
      </c>
      <c r="D38" s="6">
        <v>166.1</v>
      </c>
      <c r="E38" s="6">
        <f t="shared" si="2"/>
        <v>6.2799999999999994</v>
      </c>
      <c r="F38" s="6" t="str">
        <f t="shared" si="0"/>
        <v>Post-COVID</v>
      </c>
    </row>
    <row r="39" spans="1:6" x14ac:dyDescent="0.35">
      <c r="A39" s="6">
        <v>2022</v>
      </c>
      <c r="B39" s="6" t="s">
        <v>36</v>
      </c>
      <c r="C39" s="6" t="str">
        <f t="shared" si="3"/>
        <v>Mar-2022</v>
      </c>
      <c r="D39" s="6">
        <v>167.7</v>
      </c>
      <c r="E39" s="6">
        <f t="shared" si="2"/>
        <v>6.05</v>
      </c>
      <c r="F39" s="6" t="str">
        <f t="shared" si="0"/>
        <v>Post-COVID</v>
      </c>
    </row>
    <row r="40" spans="1:6" x14ac:dyDescent="0.35">
      <c r="A40" s="6">
        <v>2022</v>
      </c>
      <c r="B40" s="6" t="s">
        <v>37</v>
      </c>
      <c r="C40" s="6" t="str">
        <f t="shared" si="3"/>
        <v>Apr-2022</v>
      </c>
      <c r="D40" s="6">
        <v>170.1</v>
      </c>
      <c r="E40" s="6">
        <f t="shared" si="2"/>
        <v>6.45</v>
      </c>
      <c r="F40" s="6" t="str">
        <f t="shared" si="0"/>
        <v>Post-COVID</v>
      </c>
    </row>
    <row r="41" spans="1:6" x14ac:dyDescent="0.35">
      <c r="A41" s="6">
        <v>2022</v>
      </c>
      <c r="B41" s="6" t="s">
        <v>38</v>
      </c>
      <c r="C41" s="6" t="str">
        <f t="shared" si="3"/>
        <v>May-2022</v>
      </c>
      <c r="D41" s="6">
        <v>171.7</v>
      </c>
      <c r="E41" s="6">
        <f t="shared" si="2"/>
        <v>6.22</v>
      </c>
      <c r="F41" s="6" t="str">
        <f t="shared" si="0"/>
        <v>Post-COVID</v>
      </c>
    </row>
    <row r="42" spans="1:6" x14ac:dyDescent="0.35">
      <c r="A42" s="6">
        <v>2022</v>
      </c>
      <c r="B42" s="6" t="s">
        <v>39</v>
      </c>
      <c r="C42" s="6" t="str">
        <f t="shared" si="3"/>
        <v>Jun-2022</v>
      </c>
      <c r="D42" s="6">
        <v>172.6</v>
      </c>
      <c r="E42" s="6">
        <f t="shared" si="2"/>
        <v>6.26</v>
      </c>
      <c r="F42" s="6" t="str">
        <f t="shared" si="0"/>
        <v>Post-COVID</v>
      </c>
    </row>
    <row r="43" spans="1:6" x14ac:dyDescent="0.35">
      <c r="A43" s="6">
        <v>2022</v>
      </c>
      <c r="B43" s="6" t="s">
        <v>40</v>
      </c>
      <c r="C43" s="6" t="str">
        <f t="shared" si="3"/>
        <v>Jul-2022</v>
      </c>
      <c r="D43" s="6">
        <v>173.4</v>
      </c>
      <c r="E43" s="6">
        <f t="shared" si="2"/>
        <v>6.81</v>
      </c>
      <c r="F43" s="6" t="str">
        <f t="shared" si="0"/>
        <v>Post-COVID</v>
      </c>
    </row>
    <row r="44" spans="1:6" x14ac:dyDescent="0.35">
      <c r="A44" s="6">
        <v>2022</v>
      </c>
      <c r="B44" s="6" t="s">
        <v>41</v>
      </c>
      <c r="C44" s="6" t="str">
        <f t="shared" si="3"/>
        <v>Aug-2022</v>
      </c>
      <c r="D44" s="6">
        <v>174.3</v>
      </c>
      <c r="E44" s="6">
        <f t="shared" si="2"/>
        <v>5.93</v>
      </c>
      <c r="F44" s="6" t="str">
        <f t="shared" si="0"/>
        <v>Post-COVID</v>
      </c>
    </row>
    <row r="45" spans="1:6" x14ac:dyDescent="0.35">
      <c r="A45" s="6">
        <v>2022</v>
      </c>
      <c r="B45" s="6" t="s">
        <v>42</v>
      </c>
      <c r="C45" s="6" t="str">
        <f t="shared" si="3"/>
        <v>Sep-2022</v>
      </c>
      <c r="D45" s="6">
        <v>175.3</v>
      </c>
      <c r="E45" s="6">
        <f t="shared" si="2"/>
        <v>6</v>
      </c>
      <c r="F45" s="6" t="str">
        <f t="shared" si="0"/>
        <v>Post-COVID</v>
      </c>
    </row>
    <row r="46" spans="1:6" x14ac:dyDescent="0.35">
      <c r="A46" s="6">
        <v>2022</v>
      </c>
      <c r="B46" s="6" t="s">
        <v>43</v>
      </c>
      <c r="C46" s="6" t="str">
        <f t="shared" si="3"/>
        <v>Oct-2022</v>
      </c>
      <c r="D46" s="6">
        <v>176.7</v>
      </c>
      <c r="E46" s="6">
        <f t="shared" si="2"/>
        <v>6.2</v>
      </c>
      <c r="F46" s="6" t="str">
        <f t="shared" si="0"/>
        <v>Post-COVID</v>
      </c>
    </row>
    <row r="47" spans="1:6" x14ac:dyDescent="0.35">
      <c r="A47" s="6">
        <v>2022</v>
      </c>
      <c r="B47" s="6" t="s">
        <v>45</v>
      </c>
      <c r="C47" s="6" t="str">
        <f t="shared" si="3"/>
        <v>Nov-2022</v>
      </c>
      <c r="D47" s="6">
        <v>176.5</v>
      </c>
      <c r="E47" s="6">
        <f t="shared" si="2"/>
        <v>6.04</v>
      </c>
      <c r="F47" s="6" t="str">
        <f t="shared" si="0"/>
        <v>Post-COVID</v>
      </c>
    </row>
    <row r="48" spans="1:6" x14ac:dyDescent="0.35">
      <c r="A48" s="6">
        <v>2022</v>
      </c>
      <c r="B48" s="6" t="s">
        <v>46</v>
      </c>
      <c r="C48" s="6" t="str">
        <f t="shared" si="3"/>
        <v>Dec-2022</v>
      </c>
      <c r="D48" s="6">
        <v>175.7</v>
      </c>
      <c r="E48" s="6">
        <f t="shared" si="2"/>
        <v>6.27</v>
      </c>
      <c r="F48" s="6" t="str">
        <f t="shared" si="0"/>
        <v>Post-COVID</v>
      </c>
    </row>
    <row r="49" spans="1:6" x14ac:dyDescent="0.35">
      <c r="A49" s="6">
        <v>2023</v>
      </c>
      <c r="B49" s="6" t="s">
        <v>31</v>
      </c>
      <c r="C49" s="6" t="str">
        <f t="shared" si="3"/>
        <v>Jan-2023</v>
      </c>
      <c r="D49" s="6">
        <v>176.5</v>
      </c>
      <c r="E49" s="6">
        <f t="shared" si="2"/>
        <v>5.67</v>
      </c>
      <c r="F49" s="6" t="str">
        <f t="shared" si="0"/>
        <v>Post-COVID</v>
      </c>
    </row>
    <row r="50" spans="1:6" x14ac:dyDescent="0.35">
      <c r="A50" s="6">
        <v>2023</v>
      </c>
      <c r="B50" s="6" t="s">
        <v>35</v>
      </c>
      <c r="C50" s="6" t="str">
        <f t="shared" si="3"/>
        <v>Feb-2023</v>
      </c>
      <c r="D50" s="6">
        <v>177.2</v>
      </c>
      <c r="E50" s="6">
        <f t="shared" si="2"/>
        <v>4.18</v>
      </c>
      <c r="F50" s="6" t="str">
        <f t="shared" si="0"/>
        <v>Post-COVID</v>
      </c>
    </row>
    <row r="51" spans="1:6" x14ac:dyDescent="0.35">
      <c r="A51" s="6">
        <v>2023</v>
      </c>
      <c r="B51" s="6" t="s">
        <v>36</v>
      </c>
      <c r="C51" s="6" t="str">
        <f t="shared" si="3"/>
        <v>Mar-2023</v>
      </c>
      <c r="D51" s="6">
        <v>177.2</v>
      </c>
      <c r="E51" s="6">
        <f t="shared" si="2"/>
        <v>3.73</v>
      </c>
      <c r="F51" s="6" t="str">
        <f t="shared" si="0"/>
        <v>Post-COVID</v>
      </c>
    </row>
    <row r="52" spans="1:6" x14ac:dyDescent="0.35">
      <c r="A52" s="6">
        <v>2023</v>
      </c>
      <c r="B52" s="6" t="s">
        <v>37</v>
      </c>
      <c r="C52" s="6" t="str">
        <f t="shared" si="3"/>
        <v>Apr-2023</v>
      </c>
      <c r="D52" s="6">
        <v>178.1</v>
      </c>
      <c r="E52" s="6">
        <f t="shared" si="2"/>
        <v>3.7699999999999996</v>
      </c>
      <c r="F52" s="6" t="str">
        <f t="shared" si="0"/>
        <v>Post-COVID</v>
      </c>
    </row>
    <row r="53" spans="1:6" x14ac:dyDescent="0.35">
      <c r="A53" s="6">
        <v>2023</v>
      </c>
      <c r="B53" s="6" t="s">
        <v>38</v>
      </c>
      <c r="C53" s="6" t="str">
        <f t="shared" si="3"/>
        <v>May-2023</v>
      </c>
      <c r="D53" s="6">
        <v>179.1</v>
      </c>
      <c r="E53" s="6"/>
      <c r="F53" s="6" t="str">
        <f t="shared" si="0"/>
        <v>Post-COVID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AE02-5F68-466D-AF9E-65B670768D0C}">
  <dimension ref="A1:D31"/>
  <sheetViews>
    <sheetView workbookViewId="0">
      <selection activeCell="G14" sqref="G14"/>
    </sheetView>
  </sheetViews>
  <sheetFormatPr defaultRowHeight="14.5" x14ac:dyDescent="0.35"/>
  <cols>
    <col min="1" max="1" width="6.81640625" bestFit="1" customWidth="1"/>
    <col min="2" max="2" width="9.6328125" bestFit="1" customWidth="1"/>
    <col min="3" max="3" width="14.36328125" bestFit="1" customWidth="1"/>
    <col min="4" max="4" width="14.36328125" customWidth="1"/>
  </cols>
  <sheetData>
    <row r="1" spans="1:4" x14ac:dyDescent="0.35">
      <c r="A1" t="s">
        <v>1</v>
      </c>
      <c r="B1" t="s">
        <v>2</v>
      </c>
      <c r="C1" t="s">
        <v>21</v>
      </c>
      <c r="D1" t="s">
        <v>83</v>
      </c>
    </row>
    <row r="2" spans="1:4" x14ac:dyDescent="0.35">
      <c r="A2">
        <v>2020</v>
      </c>
      <c r="B2" s="9" t="s">
        <v>46</v>
      </c>
      <c r="C2">
        <v>144.6</v>
      </c>
      <c r="D2" t="s">
        <v>32</v>
      </c>
    </row>
    <row r="3" spans="1:4" x14ac:dyDescent="0.35">
      <c r="A3">
        <v>2021</v>
      </c>
      <c r="B3" s="9" t="s">
        <v>31</v>
      </c>
      <c r="C3">
        <v>147.9</v>
      </c>
      <c r="D3">
        <f t="shared" ref="D2:D31" si="0">IFERROR(ROUNDUP((C3-C2)/C2*100,2),"Zero Divide")</f>
        <v>2.2899999999999996</v>
      </c>
    </row>
    <row r="4" spans="1:4" x14ac:dyDescent="0.35">
      <c r="A4">
        <v>2021</v>
      </c>
      <c r="B4" s="9" t="s">
        <v>35</v>
      </c>
      <c r="C4">
        <v>152.4</v>
      </c>
      <c r="D4">
        <f t="shared" si="0"/>
        <v>3.05</v>
      </c>
    </row>
    <row r="5" spans="1:4" x14ac:dyDescent="0.35">
      <c r="A5">
        <v>2021</v>
      </c>
      <c r="B5" s="9" t="s">
        <v>36</v>
      </c>
      <c r="C5">
        <v>155.5</v>
      </c>
      <c r="D5">
        <f t="shared" si="0"/>
        <v>2.0399999999999996</v>
      </c>
    </row>
    <row r="6" spans="1:4" x14ac:dyDescent="0.35">
      <c r="A6">
        <v>2021</v>
      </c>
      <c r="B6" s="9" t="s">
        <v>37</v>
      </c>
      <c r="C6">
        <v>155.6</v>
      </c>
      <c r="D6">
        <f t="shared" si="0"/>
        <v>6.9999999999999993E-2</v>
      </c>
    </row>
    <row r="7" spans="1:4" x14ac:dyDescent="0.35">
      <c r="A7">
        <v>2021</v>
      </c>
      <c r="B7" s="9" t="s">
        <v>38</v>
      </c>
      <c r="C7">
        <v>159.4</v>
      </c>
      <c r="D7">
        <f t="shared" si="0"/>
        <v>2.4499999999999997</v>
      </c>
    </row>
    <row r="8" spans="1:4" x14ac:dyDescent="0.35">
      <c r="A8">
        <v>2021</v>
      </c>
      <c r="B8" s="9" t="s">
        <v>39</v>
      </c>
      <c r="C8">
        <v>159.80000000000001</v>
      </c>
      <c r="D8">
        <f t="shared" si="0"/>
        <v>0.26</v>
      </c>
    </row>
    <row r="9" spans="1:4" x14ac:dyDescent="0.35">
      <c r="A9">
        <v>2021</v>
      </c>
      <c r="B9" s="9" t="s">
        <v>40</v>
      </c>
      <c r="C9">
        <v>160.69999999999999</v>
      </c>
      <c r="D9">
        <f t="shared" si="0"/>
        <v>0.57000000000000006</v>
      </c>
    </row>
    <row r="10" spans="1:4" x14ac:dyDescent="0.35">
      <c r="A10">
        <v>2021</v>
      </c>
      <c r="B10" s="9" t="s">
        <v>41</v>
      </c>
      <c r="C10">
        <v>162.6</v>
      </c>
      <c r="D10">
        <f t="shared" si="0"/>
        <v>1.19</v>
      </c>
    </row>
    <row r="11" spans="1:4" x14ac:dyDescent="0.35">
      <c r="A11">
        <v>2021</v>
      </c>
      <c r="B11" s="9" t="s">
        <v>42</v>
      </c>
      <c r="C11">
        <v>162.6</v>
      </c>
      <c r="D11">
        <f t="shared" si="0"/>
        <v>0</v>
      </c>
    </row>
    <row r="12" spans="1:4" x14ac:dyDescent="0.35">
      <c r="A12">
        <v>2021</v>
      </c>
      <c r="B12" s="9" t="s">
        <v>43</v>
      </c>
      <c r="C12">
        <v>164.2</v>
      </c>
      <c r="D12">
        <f t="shared" si="0"/>
        <v>0.99</v>
      </c>
    </row>
    <row r="13" spans="1:4" x14ac:dyDescent="0.35">
      <c r="A13">
        <v>2021</v>
      </c>
      <c r="B13" s="9" t="s">
        <v>45</v>
      </c>
      <c r="C13">
        <v>163.9</v>
      </c>
      <c r="D13">
        <f t="shared" si="0"/>
        <v>-0.19</v>
      </c>
    </row>
    <row r="14" spans="1:4" x14ac:dyDescent="0.35">
      <c r="A14">
        <v>2021</v>
      </c>
      <c r="B14" s="9" t="s">
        <v>46</v>
      </c>
      <c r="C14">
        <v>164.1</v>
      </c>
      <c r="D14">
        <f t="shared" si="0"/>
        <v>0.13</v>
      </c>
    </row>
    <row r="15" spans="1:4" x14ac:dyDescent="0.35">
      <c r="A15">
        <v>2022</v>
      </c>
      <c r="B15" s="9" t="s">
        <v>31</v>
      </c>
      <c r="C15">
        <v>164.2</v>
      </c>
      <c r="D15">
        <f t="shared" si="0"/>
        <v>6.9999999999999993E-2</v>
      </c>
    </row>
    <row r="16" spans="1:4" x14ac:dyDescent="0.35">
      <c r="A16">
        <v>2022</v>
      </c>
      <c r="B16" s="9" t="s">
        <v>35</v>
      </c>
      <c r="C16">
        <v>165.7</v>
      </c>
      <c r="D16">
        <f t="shared" si="0"/>
        <v>0.92</v>
      </c>
    </row>
    <row r="17" spans="1:4" x14ac:dyDescent="0.35">
      <c r="A17">
        <v>2022</v>
      </c>
      <c r="B17" s="9" t="s">
        <v>36</v>
      </c>
      <c r="C17">
        <v>167.2</v>
      </c>
      <c r="D17">
        <f t="shared" si="0"/>
        <v>0.91</v>
      </c>
    </row>
    <row r="18" spans="1:4" x14ac:dyDescent="0.35">
      <c r="A18">
        <v>2022</v>
      </c>
      <c r="B18" s="9" t="s">
        <v>37</v>
      </c>
      <c r="C18">
        <v>172.2</v>
      </c>
      <c r="D18">
        <f t="shared" si="0"/>
        <v>3</v>
      </c>
    </row>
    <row r="19" spans="1:4" x14ac:dyDescent="0.35">
      <c r="A19">
        <v>2022</v>
      </c>
      <c r="B19" s="9" t="s">
        <v>38</v>
      </c>
      <c r="C19">
        <v>174.6</v>
      </c>
      <c r="D19">
        <f t="shared" si="0"/>
        <v>1.4</v>
      </c>
    </row>
    <row r="20" spans="1:4" x14ac:dyDescent="0.35">
      <c r="A20">
        <v>2022</v>
      </c>
      <c r="B20" s="9" t="s">
        <v>39</v>
      </c>
      <c r="C20">
        <v>176</v>
      </c>
      <c r="D20">
        <f t="shared" si="0"/>
        <v>0.81</v>
      </c>
    </row>
    <row r="21" spans="1:4" x14ac:dyDescent="0.35">
      <c r="A21">
        <v>2022</v>
      </c>
      <c r="B21" s="9" t="s">
        <v>40</v>
      </c>
      <c r="C21">
        <v>179.6</v>
      </c>
      <c r="D21">
        <f t="shared" si="0"/>
        <v>2.0499999999999998</v>
      </c>
    </row>
    <row r="22" spans="1:4" x14ac:dyDescent="0.35">
      <c r="A22">
        <v>2022</v>
      </c>
      <c r="B22" s="9" t="s">
        <v>41</v>
      </c>
      <c r="C22">
        <v>178.8</v>
      </c>
      <c r="D22">
        <f t="shared" si="0"/>
        <v>-0.45</v>
      </c>
    </row>
    <row r="23" spans="1:4" x14ac:dyDescent="0.35">
      <c r="A23">
        <v>2022</v>
      </c>
      <c r="B23" s="9" t="s">
        <v>42</v>
      </c>
      <c r="C23">
        <v>179.5</v>
      </c>
      <c r="D23">
        <f t="shared" si="0"/>
        <v>0.4</v>
      </c>
    </row>
    <row r="24" spans="1:4" x14ac:dyDescent="0.35">
      <c r="A24">
        <v>2022</v>
      </c>
      <c r="B24" s="9" t="s">
        <v>43</v>
      </c>
      <c r="C24">
        <v>180.5</v>
      </c>
      <c r="D24">
        <f t="shared" si="0"/>
        <v>0.56000000000000005</v>
      </c>
    </row>
    <row r="25" spans="1:4" x14ac:dyDescent="0.35">
      <c r="A25">
        <v>2022</v>
      </c>
      <c r="B25" s="9" t="s">
        <v>45</v>
      </c>
      <c r="C25">
        <v>181.3</v>
      </c>
      <c r="D25">
        <f t="shared" si="0"/>
        <v>0.45</v>
      </c>
    </row>
    <row r="26" spans="1:4" x14ac:dyDescent="0.35">
      <c r="A26">
        <v>2022</v>
      </c>
      <c r="B26" s="9" t="s">
        <v>46</v>
      </c>
      <c r="C26">
        <v>182</v>
      </c>
      <c r="D26">
        <f t="shared" si="0"/>
        <v>0.39</v>
      </c>
    </row>
    <row r="27" spans="1:4" x14ac:dyDescent="0.35">
      <c r="A27">
        <v>2023</v>
      </c>
      <c r="B27" s="9" t="s">
        <v>31</v>
      </c>
      <c r="C27">
        <v>182</v>
      </c>
      <c r="D27">
        <f t="shared" si="0"/>
        <v>0</v>
      </c>
    </row>
    <row r="28" spans="1:4" x14ac:dyDescent="0.35">
      <c r="A28">
        <v>2023</v>
      </c>
      <c r="B28" s="9" t="s">
        <v>35</v>
      </c>
      <c r="C28">
        <v>182.1</v>
      </c>
      <c r="D28">
        <f t="shared" si="0"/>
        <v>6.0000000000000005E-2</v>
      </c>
    </row>
    <row r="29" spans="1:4" x14ac:dyDescent="0.35">
      <c r="A29">
        <v>2023</v>
      </c>
      <c r="B29" s="9" t="s">
        <v>36</v>
      </c>
      <c r="C29">
        <v>181.9</v>
      </c>
      <c r="D29">
        <f t="shared" si="0"/>
        <v>-0.11</v>
      </c>
    </row>
    <row r="30" spans="1:4" x14ac:dyDescent="0.35">
      <c r="A30">
        <v>2023</v>
      </c>
      <c r="B30" s="9" t="s">
        <v>37</v>
      </c>
      <c r="C30">
        <v>181.7</v>
      </c>
      <c r="D30">
        <f t="shared" si="0"/>
        <v>-0.11</v>
      </c>
    </row>
    <row r="31" spans="1:4" x14ac:dyDescent="0.35">
      <c r="A31">
        <v>2023</v>
      </c>
      <c r="B31" s="9" t="s">
        <v>38</v>
      </c>
      <c r="C31">
        <v>182.8</v>
      </c>
      <c r="D31">
        <f t="shared" si="0"/>
        <v>0.61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D8AC-C4BE-4FB3-A047-DB6F4EA062E9}">
  <dimension ref="A1:N36"/>
  <sheetViews>
    <sheetView tabSelected="1" topLeftCell="A18" workbookViewId="0">
      <selection activeCell="D10" sqref="D10"/>
    </sheetView>
  </sheetViews>
  <sheetFormatPr defaultRowHeight="14.5" x14ac:dyDescent="0.35"/>
  <cols>
    <col min="1" max="1" width="10.453125" customWidth="1"/>
    <col min="2" max="2" width="9.6328125" bestFit="1" customWidth="1"/>
    <col min="3" max="3" width="19.7265625" bestFit="1" customWidth="1"/>
    <col min="4" max="4" width="22.453125" customWidth="1"/>
    <col min="5" max="5" width="21.54296875" bestFit="1" customWidth="1"/>
    <col min="6" max="6" width="24.6328125" bestFit="1" customWidth="1"/>
    <col min="7" max="7" width="14.36328125" bestFit="1" customWidth="1"/>
    <col min="8" max="8" width="14.36328125" customWidth="1"/>
    <col min="9" max="9" width="28.54296875" bestFit="1" customWidth="1"/>
    <col min="10" max="10" width="26.54296875" bestFit="1" customWidth="1"/>
    <col min="11" max="11" width="28.54296875" bestFit="1" customWidth="1"/>
    <col min="12" max="12" width="25.453125" bestFit="1" customWidth="1"/>
    <col min="13" max="13" width="14.6328125" bestFit="1" customWidth="1"/>
  </cols>
  <sheetData>
    <row r="1" spans="1:14" x14ac:dyDescent="0.35">
      <c r="A1" t="s">
        <v>1</v>
      </c>
      <c r="B1" t="s">
        <v>2</v>
      </c>
      <c r="C1" t="s">
        <v>15</v>
      </c>
      <c r="D1" t="s">
        <v>85</v>
      </c>
      <c r="E1" t="s">
        <v>19</v>
      </c>
      <c r="F1" t="s">
        <v>84</v>
      </c>
      <c r="G1" t="s">
        <v>21</v>
      </c>
      <c r="H1" t="s">
        <v>86</v>
      </c>
      <c r="I1" t="s">
        <v>22</v>
      </c>
      <c r="J1" t="s">
        <v>87</v>
      </c>
      <c r="K1" t="s">
        <v>24</v>
      </c>
      <c r="L1" t="s">
        <v>88</v>
      </c>
      <c r="M1" t="s">
        <v>29</v>
      </c>
      <c r="N1" t="s">
        <v>89</v>
      </c>
    </row>
    <row r="2" spans="1:14" x14ac:dyDescent="0.35">
      <c r="A2">
        <v>2020</v>
      </c>
      <c r="B2" s="9" t="s">
        <v>46</v>
      </c>
      <c r="C2">
        <v>165.4</v>
      </c>
      <c r="D2" t="s">
        <v>32</v>
      </c>
      <c r="E2">
        <v>153.6</v>
      </c>
      <c r="F2" t="s">
        <v>32</v>
      </c>
      <c r="G2">
        <v>144.6</v>
      </c>
      <c r="H2" t="s">
        <v>32</v>
      </c>
      <c r="I2">
        <v>149.69999999999999</v>
      </c>
      <c r="J2" t="s">
        <v>32</v>
      </c>
      <c r="K2">
        <v>140.69999999999999</v>
      </c>
      <c r="L2" t="s">
        <v>32</v>
      </c>
      <c r="M2">
        <v>158.9</v>
      </c>
      <c r="N2" t="s">
        <v>32</v>
      </c>
    </row>
    <row r="3" spans="1:14" x14ac:dyDescent="0.35">
      <c r="A3">
        <v>2021</v>
      </c>
      <c r="B3" s="9" t="s">
        <v>31</v>
      </c>
      <c r="C3">
        <v>161</v>
      </c>
      <c r="D3">
        <f t="shared" ref="D3:D31" si="0">IFERROR(ROUNDUP((C3-C2)/C2*100,2),"Zero Divide")</f>
        <v>-2.67</v>
      </c>
      <c r="E3">
        <v>154.19999999999999</v>
      </c>
      <c r="F3">
        <f t="shared" ref="F3:F31" si="1">IFERROR(ROUNDUP((E3-E2)/E2*100,2),"Zero Divide")</f>
        <v>0.4</v>
      </c>
      <c r="G3">
        <v>147.9</v>
      </c>
      <c r="H3">
        <f t="shared" ref="H3:H31" si="2">IFERROR(ROUNDUP((G3-G2)/G2*100,2),"Zero Divide")</f>
        <v>2.2899999999999996</v>
      </c>
      <c r="I3">
        <v>150</v>
      </c>
      <c r="J3">
        <f t="shared" ref="J3:J31" si="3">IFERROR(ROUNDUP((I3-I2)/I2*100,2),"Zero Divide")</f>
        <v>0.21000000000000002</v>
      </c>
      <c r="K3">
        <v>141.9</v>
      </c>
      <c r="L3">
        <f t="shared" ref="L2:L31" si="4">IFERROR(ROUNDUP((K3-K2)/K2*100,2),"Zero Divide")</f>
        <v>0.86</v>
      </c>
      <c r="M3">
        <v>157.30000000000001</v>
      </c>
      <c r="N3">
        <f t="shared" ref="N3:N31" si="5">IFERROR(ROUNDUP((M3-M2)/M2*100,2),"Zero Divide")</f>
        <v>-1.01</v>
      </c>
    </row>
    <row r="4" spans="1:14" x14ac:dyDescent="0.35">
      <c r="A4">
        <v>2021</v>
      </c>
      <c r="B4" s="9" t="s">
        <v>35</v>
      </c>
      <c r="C4">
        <v>156.9</v>
      </c>
      <c r="D4">
        <f t="shared" si="0"/>
        <v>-2.5499999999999998</v>
      </c>
      <c r="E4">
        <v>155.80000000000001</v>
      </c>
      <c r="F4">
        <f t="shared" si="1"/>
        <v>1.04</v>
      </c>
      <c r="G4">
        <v>152.4</v>
      </c>
      <c r="H4">
        <f t="shared" si="2"/>
        <v>3.05</v>
      </c>
      <c r="I4">
        <v>150.9</v>
      </c>
      <c r="J4">
        <f t="shared" si="3"/>
        <v>0.61</v>
      </c>
      <c r="K4">
        <v>145.1</v>
      </c>
      <c r="L4">
        <f t="shared" si="4"/>
        <v>2.2599999999999998</v>
      </c>
      <c r="M4">
        <v>156.6</v>
      </c>
      <c r="N4">
        <f t="shared" si="5"/>
        <v>-0.45</v>
      </c>
    </row>
    <row r="5" spans="1:14" x14ac:dyDescent="0.35">
      <c r="A5">
        <v>2021</v>
      </c>
      <c r="B5" s="9" t="s">
        <v>36</v>
      </c>
      <c r="C5">
        <v>156.69999999999999</v>
      </c>
      <c r="D5">
        <f t="shared" si="0"/>
        <v>-0.13</v>
      </c>
      <c r="E5">
        <v>156.4</v>
      </c>
      <c r="F5">
        <f t="shared" si="1"/>
        <v>0.39</v>
      </c>
      <c r="G5">
        <v>155.5</v>
      </c>
      <c r="H5">
        <f t="shared" si="2"/>
        <v>2.0399999999999996</v>
      </c>
      <c r="I5">
        <v>151.19999999999999</v>
      </c>
      <c r="J5">
        <f t="shared" si="3"/>
        <v>0.2</v>
      </c>
      <c r="K5">
        <v>146.19999999999999</v>
      </c>
      <c r="L5">
        <f t="shared" si="4"/>
        <v>0.76</v>
      </c>
      <c r="M5">
        <v>156.80000000000001</v>
      </c>
      <c r="N5">
        <f t="shared" si="5"/>
        <v>0.13</v>
      </c>
    </row>
    <row r="6" spans="1:14" x14ac:dyDescent="0.35">
      <c r="A6">
        <v>2021</v>
      </c>
      <c r="B6" s="9" t="s">
        <v>37</v>
      </c>
      <c r="C6">
        <v>158</v>
      </c>
      <c r="D6">
        <f t="shared" si="0"/>
        <v>0.83</v>
      </c>
      <c r="E6">
        <v>157.30000000000001</v>
      </c>
      <c r="F6">
        <f t="shared" si="1"/>
        <v>0.57999999999999996</v>
      </c>
      <c r="G6">
        <v>155.6</v>
      </c>
      <c r="H6">
        <f t="shared" si="2"/>
        <v>6.9999999999999993E-2</v>
      </c>
      <c r="I6">
        <v>151.80000000000001</v>
      </c>
      <c r="J6">
        <f t="shared" si="3"/>
        <v>0.4</v>
      </c>
      <c r="K6">
        <v>146.6</v>
      </c>
      <c r="L6">
        <f t="shared" si="4"/>
        <v>0.28000000000000003</v>
      </c>
      <c r="M6">
        <v>157.80000000000001</v>
      </c>
      <c r="N6">
        <f t="shared" si="5"/>
        <v>0.64</v>
      </c>
    </row>
    <row r="7" spans="1:14" x14ac:dyDescent="0.35">
      <c r="A7">
        <v>2021</v>
      </c>
      <c r="B7" s="9" t="s">
        <v>38</v>
      </c>
      <c r="C7">
        <v>160.69999999999999</v>
      </c>
      <c r="D7">
        <f t="shared" si="0"/>
        <v>1.71</v>
      </c>
      <c r="E7">
        <v>160.4</v>
      </c>
      <c r="F7">
        <f t="shared" si="1"/>
        <v>1.98</v>
      </c>
      <c r="G7">
        <v>159.4</v>
      </c>
      <c r="H7">
        <f t="shared" si="2"/>
        <v>2.4499999999999997</v>
      </c>
      <c r="I7">
        <v>154.69999999999999</v>
      </c>
      <c r="J7">
        <f t="shared" si="3"/>
        <v>1.92</v>
      </c>
      <c r="K7">
        <v>148.9</v>
      </c>
      <c r="L7">
        <f t="shared" si="4"/>
        <v>1.57</v>
      </c>
      <c r="M7">
        <v>160.4</v>
      </c>
      <c r="N7">
        <f t="shared" si="5"/>
        <v>1.65</v>
      </c>
    </row>
    <row r="8" spans="1:14" x14ac:dyDescent="0.35">
      <c r="A8">
        <v>2021</v>
      </c>
      <c r="B8" s="9" t="s">
        <v>39</v>
      </c>
      <c r="C8">
        <v>162.6</v>
      </c>
      <c r="D8">
        <f t="shared" si="0"/>
        <v>1.19</v>
      </c>
      <c r="E8">
        <v>160.69999999999999</v>
      </c>
      <c r="F8">
        <f t="shared" si="1"/>
        <v>0.19</v>
      </c>
      <c r="G8">
        <v>159.80000000000001</v>
      </c>
      <c r="H8">
        <f t="shared" si="2"/>
        <v>0.26</v>
      </c>
      <c r="I8">
        <v>154.80000000000001</v>
      </c>
      <c r="J8">
        <f t="shared" si="3"/>
        <v>6.9999999999999993E-2</v>
      </c>
      <c r="K8">
        <v>150.69999999999999</v>
      </c>
      <c r="L8">
        <f t="shared" si="4"/>
        <v>1.21</v>
      </c>
      <c r="M8">
        <v>161.30000000000001</v>
      </c>
      <c r="N8">
        <f t="shared" si="5"/>
        <v>0.57000000000000006</v>
      </c>
    </row>
    <row r="9" spans="1:14" x14ac:dyDescent="0.35">
      <c r="A9">
        <v>2021</v>
      </c>
      <c r="B9" s="9" t="s">
        <v>40</v>
      </c>
      <c r="C9">
        <v>164</v>
      </c>
      <c r="D9">
        <f t="shared" si="0"/>
        <v>0.87</v>
      </c>
      <c r="E9">
        <v>161.4</v>
      </c>
      <c r="F9">
        <f t="shared" si="1"/>
        <v>0.44</v>
      </c>
      <c r="G9">
        <v>160.69999999999999</v>
      </c>
      <c r="H9">
        <f t="shared" si="2"/>
        <v>0.57000000000000006</v>
      </c>
      <c r="I9">
        <v>155.80000000000001</v>
      </c>
      <c r="J9">
        <f t="shared" si="3"/>
        <v>0.65</v>
      </c>
      <c r="K9">
        <v>153.1</v>
      </c>
      <c r="L9">
        <f t="shared" si="4"/>
        <v>1.6</v>
      </c>
      <c r="M9">
        <v>162.5</v>
      </c>
      <c r="N9">
        <f t="shared" si="5"/>
        <v>0.75</v>
      </c>
    </row>
    <row r="10" spans="1:14" x14ac:dyDescent="0.35">
      <c r="A10">
        <v>2021</v>
      </c>
      <c r="B10" s="9" t="s">
        <v>41</v>
      </c>
      <c r="C10">
        <v>164</v>
      </c>
      <c r="D10">
        <f t="shared" si="0"/>
        <v>0</v>
      </c>
      <c r="E10">
        <v>163.19999999999999</v>
      </c>
      <c r="F10">
        <f t="shared" si="1"/>
        <v>1.1200000000000001</v>
      </c>
      <c r="G10">
        <v>162.6</v>
      </c>
      <c r="H10">
        <f t="shared" si="2"/>
        <v>1.19</v>
      </c>
      <c r="I10">
        <v>157.5</v>
      </c>
      <c r="J10">
        <f t="shared" si="3"/>
        <v>1.1000000000000001</v>
      </c>
      <c r="K10">
        <v>154</v>
      </c>
      <c r="L10">
        <f t="shared" si="4"/>
        <v>0.59</v>
      </c>
      <c r="M10">
        <v>163.19999999999999</v>
      </c>
      <c r="N10">
        <f t="shared" si="5"/>
        <v>0.44</v>
      </c>
    </row>
    <row r="11" spans="1:14" x14ac:dyDescent="0.35">
      <c r="A11">
        <v>2021</v>
      </c>
      <c r="B11" s="9" t="s">
        <v>42</v>
      </c>
      <c r="C11">
        <v>164</v>
      </c>
      <c r="D11">
        <f t="shared" si="0"/>
        <v>0</v>
      </c>
      <c r="E11">
        <v>163.30000000000001</v>
      </c>
      <c r="F11">
        <f t="shared" si="1"/>
        <v>6.9999999999999993E-2</v>
      </c>
      <c r="G11">
        <v>162.6</v>
      </c>
      <c r="H11">
        <f t="shared" si="2"/>
        <v>0</v>
      </c>
      <c r="I11">
        <v>157.5</v>
      </c>
      <c r="J11">
        <f t="shared" si="3"/>
        <v>0</v>
      </c>
      <c r="K11">
        <v>154</v>
      </c>
      <c r="L11">
        <f t="shared" si="4"/>
        <v>0</v>
      </c>
      <c r="M11">
        <v>163.19999999999999</v>
      </c>
      <c r="N11">
        <f t="shared" si="5"/>
        <v>0</v>
      </c>
    </row>
    <row r="12" spans="1:14" x14ac:dyDescent="0.35">
      <c r="A12">
        <v>2021</v>
      </c>
      <c r="B12" s="9" t="s">
        <v>43</v>
      </c>
      <c r="C12">
        <v>167.7</v>
      </c>
      <c r="D12">
        <f t="shared" si="0"/>
        <v>2.2599999999999998</v>
      </c>
      <c r="E12">
        <v>164.3</v>
      </c>
      <c r="F12">
        <f t="shared" si="1"/>
        <v>0.62</v>
      </c>
      <c r="G12">
        <v>164.2</v>
      </c>
      <c r="H12">
        <f t="shared" si="2"/>
        <v>0.99</v>
      </c>
      <c r="I12">
        <v>158.4</v>
      </c>
      <c r="J12">
        <f t="shared" si="3"/>
        <v>0.57999999999999996</v>
      </c>
      <c r="K12">
        <v>155.69999999999999</v>
      </c>
      <c r="L12">
        <f t="shared" si="4"/>
        <v>1.1100000000000001</v>
      </c>
      <c r="M12">
        <v>165.5</v>
      </c>
      <c r="N12">
        <f t="shared" si="5"/>
        <v>1.41</v>
      </c>
    </row>
    <row r="13" spans="1:14" x14ac:dyDescent="0.35">
      <c r="A13">
        <v>2021</v>
      </c>
      <c r="B13" s="9" t="s">
        <v>45</v>
      </c>
      <c r="C13">
        <v>169.7</v>
      </c>
      <c r="D13">
        <f t="shared" si="0"/>
        <v>1.2</v>
      </c>
      <c r="E13">
        <v>165.8</v>
      </c>
      <c r="F13">
        <f t="shared" si="1"/>
        <v>0.92</v>
      </c>
      <c r="G13">
        <v>163.9</v>
      </c>
      <c r="H13">
        <f t="shared" si="2"/>
        <v>-0.19</v>
      </c>
      <c r="I13">
        <v>159.30000000000001</v>
      </c>
      <c r="J13">
        <f t="shared" si="3"/>
        <v>0.57000000000000006</v>
      </c>
      <c r="K13">
        <v>154.80000000000001</v>
      </c>
      <c r="L13">
        <f t="shared" si="4"/>
        <v>-0.57999999999999996</v>
      </c>
      <c r="M13">
        <v>166.7</v>
      </c>
      <c r="N13">
        <f t="shared" si="5"/>
        <v>0.73</v>
      </c>
    </row>
    <row r="14" spans="1:14" x14ac:dyDescent="0.35">
      <c r="A14">
        <v>2021</v>
      </c>
      <c r="B14" s="9" t="s">
        <v>46</v>
      </c>
      <c r="C14">
        <v>168.2</v>
      </c>
      <c r="D14">
        <f t="shared" si="0"/>
        <v>-0.89</v>
      </c>
      <c r="E14">
        <v>167</v>
      </c>
      <c r="F14">
        <f t="shared" si="1"/>
        <v>0.73</v>
      </c>
      <c r="G14">
        <v>164.1</v>
      </c>
      <c r="H14">
        <f t="shared" si="2"/>
        <v>0.13</v>
      </c>
      <c r="I14">
        <v>160.19999999999999</v>
      </c>
      <c r="J14">
        <f t="shared" si="3"/>
        <v>0.57000000000000006</v>
      </c>
      <c r="K14">
        <v>155.69999999999999</v>
      </c>
      <c r="L14">
        <f t="shared" si="4"/>
        <v>0.59</v>
      </c>
      <c r="M14">
        <v>166.2</v>
      </c>
      <c r="N14">
        <f t="shared" si="5"/>
        <v>-0.3</v>
      </c>
    </row>
    <row r="15" spans="1:14" x14ac:dyDescent="0.35">
      <c r="A15">
        <v>2022</v>
      </c>
      <c r="B15" s="9" t="s">
        <v>31</v>
      </c>
      <c r="C15">
        <v>166.4</v>
      </c>
      <c r="D15">
        <f t="shared" si="0"/>
        <v>-1.08</v>
      </c>
      <c r="E15">
        <v>168.5</v>
      </c>
      <c r="F15">
        <f t="shared" si="1"/>
        <v>0.9</v>
      </c>
      <c r="G15">
        <v>164.2</v>
      </c>
      <c r="H15">
        <f t="shared" si="2"/>
        <v>6.9999999999999993E-2</v>
      </c>
      <c r="I15">
        <v>161.1</v>
      </c>
      <c r="J15">
        <f t="shared" si="3"/>
        <v>0.57000000000000006</v>
      </c>
      <c r="K15">
        <v>156.5</v>
      </c>
      <c r="L15">
        <f t="shared" si="4"/>
        <v>0.52</v>
      </c>
      <c r="M15">
        <v>165.7</v>
      </c>
      <c r="N15">
        <f t="shared" si="5"/>
        <v>-0.31</v>
      </c>
    </row>
    <row r="16" spans="1:14" x14ac:dyDescent="0.35">
      <c r="A16">
        <v>2022</v>
      </c>
      <c r="B16" s="9" t="s">
        <v>35</v>
      </c>
      <c r="C16">
        <v>166.2</v>
      </c>
      <c r="D16">
        <f t="shared" si="0"/>
        <v>-0.13</v>
      </c>
      <c r="E16">
        <v>169.6</v>
      </c>
      <c r="F16">
        <f t="shared" si="1"/>
        <v>0.66</v>
      </c>
      <c r="G16">
        <v>165.7</v>
      </c>
      <c r="H16">
        <f t="shared" si="2"/>
        <v>0.92</v>
      </c>
      <c r="I16">
        <v>161.80000000000001</v>
      </c>
      <c r="J16">
        <f t="shared" si="3"/>
        <v>0.44</v>
      </c>
      <c r="K16">
        <v>156.9</v>
      </c>
      <c r="L16">
        <f t="shared" si="4"/>
        <v>0.26</v>
      </c>
      <c r="M16">
        <v>166.1</v>
      </c>
      <c r="N16">
        <f t="shared" si="5"/>
        <v>0.25</v>
      </c>
    </row>
    <row r="17" spans="1:14" x14ac:dyDescent="0.35">
      <c r="A17">
        <v>2022</v>
      </c>
      <c r="B17" s="9" t="s">
        <v>36</v>
      </c>
      <c r="C17">
        <v>168.4</v>
      </c>
      <c r="D17">
        <f t="shared" si="0"/>
        <v>1.33</v>
      </c>
      <c r="E17">
        <v>171.1</v>
      </c>
      <c r="F17">
        <f t="shared" si="1"/>
        <v>0.89</v>
      </c>
      <c r="G17">
        <v>167.2</v>
      </c>
      <c r="H17">
        <f t="shared" si="2"/>
        <v>0.91</v>
      </c>
      <c r="I17">
        <v>162.80000000000001</v>
      </c>
      <c r="J17">
        <f t="shared" si="3"/>
        <v>0.62</v>
      </c>
      <c r="K17">
        <v>157.9</v>
      </c>
      <c r="L17">
        <f t="shared" si="4"/>
        <v>0.64</v>
      </c>
      <c r="M17">
        <v>167.7</v>
      </c>
      <c r="N17">
        <f t="shared" si="5"/>
        <v>0.97</v>
      </c>
    </row>
    <row r="18" spans="1:14" x14ac:dyDescent="0.35">
      <c r="A18">
        <v>2022</v>
      </c>
      <c r="B18" s="9" t="s">
        <v>37</v>
      </c>
      <c r="C18">
        <v>170.8</v>
      </c>
      <c r="D18">
        <f t="shared" si="0"/>
        <v>1.43</v>
      </c>
      <c r="E18">
        <v>172.8</v>
      </c>
      <c r="F18">
        <f t="shared" si="1"/>
        <v>1</v>
      </c>
      <c r="G18">
        <v>172.2</v>
      </c>
      <c r="H18">
        <f t="shared" si="2"/>
        <v>3</v>
      </c>
      <c r="I18">
        <v>164</v>
      </c>
      <c r="J18">
        <f t="shared" si="3"/>
        <v>0.74</v>
      </c>
      <c r="K18">
        <v>162.6</v>
      </c>
      <c r="L18">
        <f t="shared" si="4"/>
        <v>2.98</v>
      </c>
      <c r="M18">
        <v>170.1</v>
      </c>
      <c r="N18">
        <f t="shared" si="5"/>
        <v>1.44</v>
      </c>
    </row>
    <row r="19" spans="1:14" x14ac:dyDescent="0.35">
      <c r="A19">
        <v>2022</v>
      </c>
      <c r="B19" s="9" t="s">
        <v>38</v>
      </c>
      <c r="C19">
        <v>173.3</v>
      </c>
      <c r="D19">
        <f t="shared" si="0"/>
        <v>1.47</v>
      </c>
      <c r="E19">
        <v>174.6</v>
      </c>
      <c r="F19">
        <f t="shared" si="1"/>
        <v>1.05</v>
      </c>
      <c r="G19">
        <v>174.6</v>
      </c>
      <c r="H19">
        <f t="shared" si="2"/>
        <v>1.4</v>
      </c>
      <c r="I19">
        <v>165.2</v>
      </c>
      <c r="J19">
        <f t="shared" si="3"/>
        <v>0.74</v>
      </c>
      <c r="K19">
        <v>163</v>
      </c>
      <c r="L19">
        <f t="shared" si="4"/>
        <v>0.25</v>
      </c>
      <c r="M19">
        <v>171.7</v>
      </c>
      <c r="N19">
        <f t="shared" si="5"/>
        <v>0.95</v>
      </c>
    </row>
    <row r="20" spans="1:14" x14ac:dyDescent="0.35">
      <c r="A20">
        <v>2022</v>
      </c>
      <c r="B20" s="9" t="s">
        <v>39</v>
      </c>
      <c r="C20">
        <v>174.9</v>
      </c>
      <c r="D20">
        <f t="shared" si="0"/>
        <v>0.93</v>
      </c>
      <c r="E20">
        <v>176</v>
      </c>
      <c r="F20">
        <f t="shared" si="1"/>
        <v>0.81</v>
      </c>
      <c r="G20">
        <v>176</v>
      </c>
      <c r="H20">
        <f t="shared" si="2"/>
        <v>0.81</v>
      </c>
      <c r="I20">
        <v>166.4</v>
      </c>
      <c r="J20">
        <f t="shared" si="3"/>
        <v>0.73</v>
      </c>
      <c r="K20">
        <v>161.1</v>
      </c>
      <c r="L20">
        <f t="shared" si="4"/>
        <v>-1.17</v>
      </c>
      <c r="M20">
        <v>172.6</v>
      </c>
      <c r="N20">
        <f t="shared" si="5"/>
        <v>0.53</v>
      </c>
    </row>
    <row r="21" spans="1:14" x14ac:dyDescent="0.35">
      <c r="A21">
        <v>2022</v>
      </c>
      <c r="B21" s="9" t="s">
        <v>40</v>
      </c>
      <c r="C21">
        <v>175</v>
      </c>
      <c r="D21">
        <f t="shared" si="0"/>
        <v>6.0000000000000005E-2</v>
      </c>
      <c r="E21">
        <v>177.3</v>
      </c>
      <c r="F21">
        <f t="shared" si="1"/>
        <v>0.74</v>
      </c>
      <c r="G21">
        <v>179.6</v>
      </c>
      <c r="H21">
        <f t="shared" si="2"/>
        <v>2.0499999999999998</v>
      </c>
      <c r="I21">
        <v>167.4</v>
      </c>
      <c r="J21">
        <f t="shared" si="3"/>
        <v>0.61</v>
      </c>
      <c r="K21">
        <v>161.6</v>
      </c>
      <c r="L21">
        <f t="shared" si="4"/>
        <v>0.32</v>
      </c>
      <c r="M21">
        <v>173.4</v>
      </c>
      <c r="N21">
        <f t="shared" si="5"/>
        <v>0.47000000000000003</v>
      </c>
    </row>
    <row r="22" spans="1:14" x14ac:dyDescent="0.35">
      <c r="A22">
        <v>2022</v>
      </c>
      <c r="B22" s="9" t="s">
        <v>41</v>
      </c>
      <c r="C22">
        <v>176.3</v>
      </c>
      <c r="D22">
        <f t="shared" si="0"/>
        <v>0.75</v>
      </c>
      <c r="E22">
        <v>178.5</v>
      </c>
      <c r="F22">
        <f t="shared" si="1"/>
        <v>0.68</v>
      </c>
      <c r="G22">
        <v>178.8</v>
      </c>
      <c r="H22">
        <f t="shared" si="2"/>
        <v>-0.45</v>
      </c>
      <c r="I22">
        <v>168.5</v>
      </c>
      <c r="J22">
        <f t="shared" si="3"/>
        <v>0.66</v>
      </c>
      <c r="K22">
        <v>161.9</v>
      </c>
      <c r="L22">
        <f t="shared" si="4"/>
        <v>0.19</v>
      </c>
      <c r="M22">
        <v>174.3</v>
      </c>
      <c r="N22">
        <f t="shared" si="5"/>
        <v>0.52</v>
      </c>
    </row>
    <row r="23" spans="1:14" x14ac:dyDescent="0.35">
      <c r="A23">
        <v>2022</v>
      </c>
      <c r="B23" s="9" t="s">
        <v>42</v>
      </c>
      <c r="C23">
        <v>177.8</v>
      </c>
      <c r="D23">
        <f t="shared" si="0"/>
        <v>0.86</v>
      </c>
      <c r="E23">
        <v>179.9</v>
      </c>
      <c r="F23">
        <f t="shared" si="1"/>
        <v>0.79</v>
      </c>
      <c r="G23">
        <v>179.5</v>
      </c>
      <c r="H23">
        <f t="shared" si="2"/>
        <v>0.4</v>
      </c>
      <c r="I23">
        <v>169.5</v>
      </c>
      <c r="J23">
        <f t="shared" si="3"/>
        <v>0.6</v>
      </c>
      <c r="K23">
        <v>162.30000000000001</v>
      </c>
      <c r="L23">
        <f t="shared" si="4"/>
        <v>0.25</v>
      </c>
      <c r="M23">
        <v>175.3</v>
      </c>
      <c r="N23">
        <f t="shared" si="5"/>
        <v>0.57999999999999996</v>
      </c>
    </row>
    <row r="24" spans="1:14" x14ac:dyDescent="0.35">
      <c r="A24">
        <v>2022</v>
      </c>
      <c r="B24" s="9" t="s">
        <v>43</v>
      </c>
      <c r="C24">
        <v>179.6</v>
      </c>
      <c r="D24">
        <f t="shared" si="0"/>
        <v>1.02</v>
      </c>
      <c r="E24">
        <v>181</v>
      </c>
      <c r="F24">
        <f t="shared" si="1"/>
        <v>0.62</v>
      </c>
      <c r="G24">
        <v>180.5</v>
      </c>
      <c r="H24">
        <f t="shared" si="2"/>
        <v>0.56000000000000005</v>
      </c>
      <c r="I24">
        <v>170.4</v>
      </c>
      <c r="J24">
        <f t="shared" si="3"/>
        <v>0.54</v>
      </c>
      <c r="K24">
        <v>162.9</v>
      </c>
      <c r="L24">
        <f t="shared" si="4"/>
        <v>0.37</v>
      </c>
      <c r="M24">
        <v>176.7</v>
      </c>
      <c r="N24">
        <f t="shared" si="5"/>
        <v>0.8</v>
      </c>
    </row>
    <row r="25" spans="1:14" x14ac:dyDescent="0.35">
      <c r="A25">
        <v>2022</v>
      </c>
      <c r="B25" s="9" t="s">
        <v>45</v>
      </c>
      <c r="C25">
        <v>178.3</v>
      </c>
      <c r="D25">
        <f t="shared" si="0"/>
        <v>-0.73</v>
      </c>
      <c r="E25">
        <v>182.1</v>
      </c>
      <c r="F25">
        <f t="shared" si="1"/>
        <v>0.61</v>
      </c>
      <c r="G25">
        <v>181.3</v>
      </c>
      <c r="H25">
        <f t="shared" si="2"/>
        <v>0.45</v>
      </c>
      <c r="I25">
        <v>171.4</v>
      </c>
      <c r="J25">
        <f t="shared" si="3"/>
        <v>0.59</v>
      </c>
      <c r="K25">
        <v>163</v>
      </c>
      <c r="L25">
        <f t="shared" si="4"/>
        <v>6.9999999999999993E-2</v>
      </c>
      <c r="M25">
        <v>176.5</v>
      </c>
      <c r="N25">
        <f t="shared" si="5"/>
        <v>-0.12</v>
      </c>
    </row>
    <row r="26" spans="1:14" x14ac:dyDescent="0.35">
      <c r="A26">
        <v>2022</v>
      </c>
      <c r="B26" s="9" t="s">
        <v>46</v>
      </c>
      <c r="C26">
        <v>175.9</v>
      </c>
      <c r="D26">
        <f t="shared" si="0"/>
        <v>-1.35</v>
      </c>
      <c r="E26">
        <v>183</v>
      </c>
      <c r="F26">
        <f t="shared" si="1"/>
        <v>0.5</v>
      </c>
      <c r="G26">
        <v>182</v>
      </c>
      <c r="H26">
        <f t="shared" si="2"/>
        <v>0.39</v>
      </c>
      <c r="I26">
        <v>172.1</v>
      </c>
      <c r="J26">
        <f t="shared" si="3"/>
        <v>0.41000000000000003</v>
      </c>
      <c r="K26">
        <v>163.4</v>
      </c>
      <c r="L26">
        <f t="shared" si="4"/>
        <v>0.25</v>
      </c>
      <c r="M26">
        <v>175.7</v>
      </c>
      <c r="N26">
        <f t="shared" si="5"/>
        <v>-0.46</v>
      </c>
    </row>
    <row r="27" spans="1:14" x14ac:dyDescent="0.35">
      <c r="A27">
        <v>2023</v>
      </c>
      <c r="B27" s="9" t="s">
        <v>31</v>
      </c>
      <c r="C27">
        <v>176.7</v>
      </c>
      <c r="D27">
        <f t="shared" si="0"/>
        <v>0.46</v>
      </c>
      <c r="E27">
        <v>183.8</v>
      </c>
      <c r="F27">
        <f t="shared" si="1"/>
        <v>0.44</v>
      </c>
      <c r="G27">
        <v>182</v>
      </c>
      <c r="H27">
        <f t="shared" si="2"/>
        <v>0</v>
      </c>
      <c r="I27">
        <v>172.9</v>
      </c>
      <c r="J27">
        <f t="shared" si="3"/>
        <v>0.47000000000000003</v>
      </c>
      <c r="K27">
        <v>163.6</v>
      </c>
      <c r="L27">
        <f t="shared" si="4"/>
        <v>0.13</v>
      </c>
      <c r="M27">
        <v>176.5</v>
      </c>
      <c r="N27">
        <f t="shared" si="5"/>
        <v>0.46</v>
      </c>
    </row>
    <row r="28" spans="1:14" x14ac:dyDescent="0.35">
      <c r="A28">
        <v>2023</v>
      </c>
      <c r="B28" s="9" t="s">
        <v>35</v>
      </c>
      <c r="C28">
        <v>177</v>
      </c>
      <c r="D28">
        <f t="shared" si="0"/>
        <v>0.17</v>
      </c>
      <c r="E28">
        <v>185.1</v>
      </c>
      <c r="F28">
        <f t="shared" si="1"/>
        <v>0.71</v>
      </c>
      <c r="G28">
        <v>182.1</v>
      </c>
      <c r="H28">
        <f t="shared" si="2"/>
        <v>6.0000000000000005E-2</v>
      </c>
      <c r="I28">
        <v>174.2</v>
      </c>
      <c r="J28">
        <f t="shared" si="3"/>
        <v>0.76</v>
      </c>
      <c r="K28">
        <v>164.2</v>
      </c>
      <c r="L28">
        <f t="shared" si="4"/>
        <v>0.37</v>
      </c>
      <c r="M28">
        <v>177.2</v>
      </c>
      <c r="N28">
        <f t="shared" si="5"/>
        <v>0.4</v>
      </c>
    </row>
    <row r="29" spans="1:14" x14ac:dyDescent="0.35">
      <c r="A29">
        <v>2023</v>
      </c>
      <c r="B29" s="9" t="s">
        <v>36</v>
      </c>
      <c r="C29">
        <v>177</v>
      </c>
      <c r="D29">
        <f t="shared" si="0"/>
        <v>0</v>
      </c>
      <c r="E29">
        <v>185.1</v>
      </c>
      <c r="F29">
        <f t="shared" si="1"/>
        <v>0</v>
      </c>
      <c r="G29">
        <v>181.9</v>
      </c>
      <c r="H29">
        <f t="shared" si="2"/>
        <v>-0.11</v>
      </c>
      <c r="I29">
        <v>174.2</v>
      </c>
      <c r="J29">
        <f t="shared" si="3"/>
        <v>0</v>
      </c>
      <c r="K29">
        <v>164.2</v>
      </c>
      <c r="L29">
        <f t="shared" si="4"/>
        <v>0</v>
      </c>
      <c r="M29">
        <v>177.2</v>
      </c>
      <c r="N29">
        <f t="shared" si="5"/>
        <v>0</v>
      </c>
    </row>
    <row r="30" spans="1:14" x14ac:dyDescent="0.35">
      <c r="A30">
        <v>2023</v>
      </c>
      <c r="B30" s="9" t="s">
        <v>37</v>
      </c>
      <c r="C30">
        <v>177.9</v>
      </c>
      <c r="D30">
        <f t="shared" si="0"/>
        <v>0.51</v>
      </c>
      <c r="E30">
        <v>185.7</v>
      </c>
      <c r="F30">
        <f t="shared" si="1"/>
        <v>0.33</v>
      </c>
      <c r="G30">
        <v>181.7</v>
      </c>
      <c r="H30">
        <f t="shared" si="2"/>
        <v>-0.11</v>
      </c>
      <c r="I30">
        <v>174.6</v>
      </c>
      <c r="J30">
        <f t="shared" si="3"/>
        <v>0.23</v>
      </c>
      <c r="K30">
        <v>164.5</v>
      </c>
      <c r="L30">
        <f t="shared" si="4"/>
        <v>0.19</v>
      </c>
      <c r="M30">
        <v>178.1</v>
      </c>
      <c r="N30">
        <f t="shared" si="5"/>
        <v>0.51</v>
      </c>
    </row>
    <row r="31" spans="1:14" x14ac:dyDescent="0.35">
      <c r="A31">
        <v>2023</v>
      </c>
      <c r="B31" s="9" t="s">
        <v>38</v>
      </c>
      <c r="C31">
        <v>179.1</v>
      </c>
      <c r="D31">
        <f t="shared" si="0"/>
        <v>0.68</v>
      </c>
      <c r="E31">
        <v>186.2</v>
      </c>
      <c r="F31">
        <f t="shared" si="1"/>
        <v>0.27</v>
      </c>
      <c r="G31">
        <v>182.8</v>
      </c>
      <c r="H31">
        <f t="shared" si="2"/>
        <v>0.61</v>
      </c>
      <c r="I31">
        <v>175.2</v>
      </c>
      <c r="J31">
        <f t="shared" si="3"/>
        <v>0.35000000000000003</v>
      </c>
      <c r="K31">
        <v>164.8</v>
      </c>
      <c r="L31">
        <f t="shared" si="4"/>
        <v>0.19</v>
      </c>
      <c r="M31">
        <v>179.1</v>
      </c>
      <c r="N31">
        <f t="shared" si="5"/>
        <v>0.57000000000000006</v>
      </c>
    </row>
    <row r="34" spans="1:7" x14ac:dyDescent="0.35">
      <c r="A34" t="s">
        <v>97</v>
      </c>
    </row>
    <row r="35" spans="1:7" x14ac:dyDescent="0.35">
      <c r="A35" t="s">
        <v>90</v>
      </c>
      <c r="B35" t="s">
        <v>92</v>
      </c>
      <c r="C35" t="s">
        <v>17</v>
      </c>
      <c r="D35" t="s">
        <v>93</v>
      </c>
      <c r="E35" t="s">
        <v>94</v>
      </c>
      <c r="F35" t="s">
        <v>95</v>
      </c>
      <c r="G35" t="s">
        <v>96</v>
      </c>
    </row>
    <row r="36" spans="1:7" x14ac:dyDescent="0.35">
      <c r="A36" t="s">
        <v>91</v>
      </c>
      <c r="B36" s="10">
        <f>CORREL(H3:H31,D3:D31)</f>
        <v>-0.17507625680592956</v>
      </c>
      <c r="C36" s="10">
        <f>CORREL(H3:H31,F3:F31)</f>
        <v>0.48035401227343555</v>
      </c>
      <c r="D36" s="10">
        <f>CORREL(H3:H31,H3:H31)</f>
        <v>1</v>
      </c>
      <c r="E36" s="10">
        <f>CORREL(H3:H31,J3:J31)</f>
        <v>0.36765682999578181</v>
      </c>
      <c r="F36" s="10">
        <f>CORREL(H3:H31,L3:L31)</f>
        <v>0.66349747483488331</v>
      </c>
      <c r="G36" s="10">
        <f>CORREL(H3:H31,N3:N31)</f>
        <v>0.10328896919693044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F89512-0FFE-4A13-8BF7-BBC8364950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{RAW}All_India_Index_Upto_Apr</vt:lpstr>
      <vt:lpstr>Formatted_Sheet_Ans1</vt:lpstr>
      <vt:lpstr>Formatted_Sheet_Ans2</vt:lpstr>
      <vt:lpstr>Formatted_Sheet_Ans3</vt:lpstr>
      <vt:lpstr>Formatted_Sheet_Ans4</vt:lpstr>
      <vt:lpstr>Conti_Ans4</vt:lpstr>
      <vt:lpstr>Formatted_Sheet_Ans5</vt:lpstr>
      <vt:lpstr>Conti_Ans5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Sumaira Kausar</cp:lastModifiedBy>
  <dcterms:created xsi:type="dcterms:W3CDTF">2025-12-25T15:39:08Z</dcterms:created>
  <dcterms:modified xsi:type="dcterms:W3CDTF">2025-12-30T07:12:24Z</dcterms:modified>
</cp:coreProperties>
</file>