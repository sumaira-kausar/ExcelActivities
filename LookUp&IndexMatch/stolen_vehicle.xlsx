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elcome\Downloads\ExcelActivities\LookUp&amp;IndexMatch\"/>
    </mc:Choice>
  </mc:AlternateContent>
  <xr:revisionPtr revIDLastSave="0" documentId="13_ncr:1_{742518CA-2083-4F97-A440-13064E80A7E6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{RAW}Stolen_Vehicle_details" sheetId="1" r:id="rId1"/>
    <sheet name="LocationIDofDateStolen" sheetId="3" r:id="rId2"/>
    <sheet name="Updated" sheetId="2" r:id="rId3"/>
  </sheets>
  <externalReferences>
    <externalReference r:id="rId4"/>
    <externalReference r:id="rId5"/>
    <externalReference r:id="rId6"/>
  </externalReferences>
  <definedNames>
    <definedName name="_xlnm._FilterDatabase" localSheetId="2" hidden="1">Updated!$A$1:$Q$501</definedName>
  </definedNames>
  <calcPr calcId="191029"/>
  <pivotCaches>
    <pivotCache cacheId="4" r:id="rId7"/>
    <pivotCache cacheId="1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2" l="1"/>
  <c r="S2" i="2"/>
  <c r="R2" i="2"/>
  <c r="O2" i="2"/>
  <c r="N2" i="2"/>
  <c r="M2" i="2"/>
  <c r="L2" i="2" a="1"/>
  <c r="L2" i="2" s="1"/>
  <c r="K2" i="2" a="1"/>
  <c r="K2" i="2" s="1"/>
  <c r="P2" i="2" s="1"/>
  <c r="J2" i="2" a="1"/>
  <c r="J2" i="2" s="1"/>
  <c r="I2" i="2" a="1"/>
  <c r="I2" i="2" s="1"/>
  <c r="P442" i="2" l="1"/>
  <c r="P366" i="2"/>
  <c r="P249" i="2"/>
  <c r="P182" i="2"/>
  <c r="P56" i="2"/>
  <c r="P498" i="2"/>
  <c r="P490" i="2"/>
  <c r="P482" i="2"/>
  <c r="P474" i="2"/>
  <c r="P466" i="2"/>
  <c r="P458" i="2"/>
  <c r="P450" i="2"/>
  <c r="P434" i="2"/>
  <c r="P426" i="2"/>
  <c r="P418" i="2"/>
  <c r="P410" i="2"/>
  <c r="P402" i="2"/>
  <c r="P394" i="2"/>
  <c r="P386" i="2"/>
  <c r="P378" i="2"/>
  <c r="P370" i="2"/>
  <c r="P362" i="2"/>
  <c r="P354" i="2"/>
  <c r="P346" i="2"/>
  <c r="P338" i="2"/>
  <c r="P330" i="2"/>
  <c r="P322" i="2"/>
  <c r="P314" i="2"/>
  <c r="P306" i="2"/>
  <c r="P298" i="2"/>
  <c r="P290" i="2"/>
  <c r="P282" i="2"/>
  <c r="P274" i="2"/>
  <c r="P266" i="2"/>
  <c r="P258" i="2"/>
  <c r="P250" i="2"/>
  <c r="P242" i="2"/>
  <c r="P234" i="2"/>
  <c r="P226" i="2"/>
  <c r="P218" i="2"/>
  <c r="P210" i="2"/>
  <c r="P202" i="2"/>
  <c r="P194" i="2"/>
  <c r="P186" i="2"/>
  <c r="P178" i="2"/>
  <c r="P170" i="2"/>
  <c r="P162" i="2"/>
  <c r="P154" i="2"/>
  <c r="P146" i="2"/>
  <c r="P138" i="2"/>
  <c r="P130" i="2"/>
  <c r="P122" i="2"/>
  <c r="P114" i="2"/>
  <c r="P106" i="2"/>
  <c r="P98" i="2"/>
  <c r="P90" i="2"/>
  <c r="P82" i="2"/>
  <c r="P74" i="2"/>
  <c r="P66" i="2"/>
  <c r="P58" i="2"/>
  <c r="P50" i="2"/>
  <c r="P42" i="2"/>
  <c r="P34" i="2"/>
  <c r="P26" i="2"/>
  <c r="P18" i="2"/>
  <c r="P10" i="2"/>
  <c r="P497" i="2"/>
  <c r="P489" i="2"/>
  <c r="P481" i="2"/>
  <c r="P473" i="2"/>
  <c r="P465" i="2"/>
  <c r="P457" i="2"/>
  <c r="P449" i="2"/>
  <c r="P441" i="2"/>
  <c r="P433" i="2"/>
  <c r="P425" i="2"/>
  <c r="P417" i="2"/>
  <c r="P409" i="2"/>
  <c r="P401" i="2"/>
  <c r="P393" i="2"/>
  <c r="P385" i="2"/>
  <c r="P377" i="2"/>
  <c r="P369" i="2"/>
  <c r="P361" i="2"/>
  <c r="P353" i="2"/>
  <c r="P345" i="2"/>
  <c r="P337" i="2"/>
  <c r="P329" i="2"/>
  <c r="P321" i="2"/>
  <c r="P313" i="2"/>
  <c r="P305" i="2"/>
  <c r="P297" i="2"/>
  <c r="P289" i="2"/>
  <c r="P281" i="2"/>
  <c r="P273" i="2"/>
  <c r="P265" i="2"/>
  <c r="P257" i="2"/>
  <c r="P241" i="2"/>
  <c r="P233" i="2"/>
  <c r="P225" i="2"/>
  <c r="P217" i="2"/>
  <c r="P209" i="2"/>
  <c r="P201" i="2"/>
  <c r="P193" i="2"/>
  <c r="P185" i="2"/>
  <c r="P177" i="2"/>
  <c r="P169" i="2"/>
  <c r="P161" i="2"/>
  <c r="P153" i="2"/>
  <c r="P145" i="2"/>
  <c r="P137" i="2"/>
  <c r="P129" i="2"/>
  <c r="P121" i="2"/>
  <c r="P113" i="2"/>
  <c r="P105" i="2"/>
  <c r="P97" i="2"/>
  <c r="P89" i="2"/>
  <c r="P81" i="2"/>
  <c r="P73" i="2"/>
  <c r="P65" i="2"/>
  <c r="P57" i="2"/>
  <c r="P49" i="2"/>
  <c r="P41" i="2"/>
  <c r="P33" i="2"/>
  <c r="P25" i="2"/>
  <c r="P17" i="2"/>
  <c r="P9" i="2"/>
  <c r="P496" i="2"/>
  <c r="P488" i="2"/>
  <c r="P480" i="2"/>
  <c r="P472" i="2"/>
  <c r="P464" i="2"/>
  <c r="P456" i="2"/>
  <c r="P448" i="2"/>
  <c r="P440" i="2"/>
  <c r="P432" i="2"/>
  <c r="P424" i="2"/>
  <c r="P416" i="2"/>
  <c r="P408" i="2"/>
  <c r="P400" i="2"/>
  <c r="P392" i="2"/>
  <c r="P384" i="2"/>
  <c r="P376" i="2"/>
  <c r="P368" i="2"/>
  <c r="P360" i="2"/>
  <c r="P352" i="2"/>
  <c r="P344" i="2"/>
  <c r="P336" i="2"/>
  <c r="P328" i="2"/>
  <c r="P320" i="2"/>
  <c r="P312" i="2"/>
  <c r="P304" i="2"/>
  <c r="P296" i="2"/>
  <c r="P288" i="2"/>
  <c r="P280" i="2"/>
  <c r="P272" i="2"/>
  <c r="P264" i="2"/>
  <c r="P256" i="2"/>
  <c r="P248" i="2"/>
  <c r="P240" i="2"/>
  <c r="P232" i="2"/>
  <c r="P224" i="2"/>
  <c r="P216" i="2"/>
  <c r="P208" i="2"/>
  <c r="P200" i="2"/>
  <c r="P192" i="2"/>
  <c r="P184" i="2"/>
  <c r="P176" i="2"/>
  <c r="P168" i="2"/>
  <c r="P160" i="2"/>
  <c r="P152" i="2"/>
  <c r="P144" i="2"/>
  <c r="P136" i="2"/>
  <c r="P128" i="2"/>
  <c r="P120" i="2"/>
  <c r="P112" i="2"/>
  <c r="P104" i="2"/>
  <c r="P96" i="2"/>
  <c r="P88" i="2"/>
  <c r="P80" i="2"/>
  <c r="P72" i="2"/>
  <c r="P64" i="2"/>
  <c r="P48" i="2"/>
  <c r="P40" i="2"/>
  <c r="P32" i="2"/>
  <c r="P24" i="2"/>
  <c r="P16" i="2"/>
  <c r="P8" i="2"/>
  <c r="P495" i="2"/>
  <c r="P487" i="2"/>
  <c r="P479" i="2"/>
  <c r="P471" i="2"/>
  <c r="P463" i="2"/>
  <c r="P455" i="2"/>
  <c r="P447" i="2"/>
  <c r="P439" i="2"/>
  <c r="P431" i="2"/>
  <c r="P423" i="2"/>
  <c r="P415" i="2"/>
  <c r="P407" i="2"/>
  <c r="P399" i="2"/>
  <c r="P391" i="2"/>
  <c r="P383" i="2"/>
  <c r="P375" i="2"/>
  <c r="P367" i="2"/>
  <c r="P359" i="2"/>
  <c r="P351" i="2"/>
  <c r="P343" i="2"/>
  <c r="P335" i="2"/>
  <c r="P327" i="2"/>
  <c r="P319" i="2"/>
  <c r="P311" i="2"/>
  <c r="P303" i="2"/>
  <c r="P295" i="2"/>
  <c r="P287" i="2"/>
  <c r="P279" i="2"/>
  <c r="P271" i="2"/>
  <c r="P263" i="2"/>
  <c r="P255" i="2"/>
  <c r="P247" i="2"/>
  <c r="P239" i="2"/>
  <c r="P231" i="2"/>
  <c r="P223" i="2"/>
  <c r="P215" i="2"/>
  <c r="P207" i="2"/>
  <c r="P199" i="2"/>
  <c r="P191" i="2"/>
  <c r="P183" i="2"/>
  <c r="P175" i="2"/>
  <c r="P167" i="2"/>
  <c r="P159" i="2"/>
  <c r="P151" i="2"/>
  <c r="P143" i="2"/>
  <c r="P135" i="2"/>
  <c r="P127" i="2"/>
  <c r="P119" i="2"/>
  <c r="P111" i="2"/>
  <c r="P103" i="2"/>
  <c r="P95" i="2"/>
  <c r="P87" i="2"/>
  <c r="P79" i="2"/>
  <c r="P71" i="2"/>
  <c r="P63" i="2"/>
  <c r="P55" i="2"/>
  <c r="P47" i="2"/>
  <c r="P39" i="2"/>
  <c r="P31" i="2"/>
  <c r="P23" i="2"/>
  <c r="P15" i="2"/>
  <c r="P7" i="2"/>
  <c r="P494" i="2"/>
  <c r="P486" i="2"/>
  <c r="P478" i="2"/>
  <c r="P470" i="2"/>
  <c r="P462" i="2"/>
  <c r="P454" i="2"/>
  <c r="P446" i="2"/>
  <c r="P438" i="2"/>
  <c r="P430" i="2"/>
  <c r="P422" i="2"/>
  <c r="P414" i="2"/>
  <c r="P406" i="2"/>
  <c r="P398" i="2"/>
  <c r="P390" i="2"/>
  <c r="P382" i="2"/>
  <c r="P374" i="2"/>
  <c r="P174" i="2"/>
  <c r="P166" i="2"/>
  <c r="P158" i="2"/>
  <c r="P150" i="2"/>
  <c r="P142" i="2"/>
  <c r="P134" i="2"/>
  <c r="P126" i="2"/>
  <c r="P118" i="2"/>
  <c r="P110" i="2"/>
  <c r="P102" i="2"/>
  <c r="P94" i="2"/>
  <c r="P86" i="2"/>
  <c r="P78" i="2"/>
  <c r="P70" i="2"/>
  <c r="P62" i="2"/>
  <c r="P54" i="2"/>
  <c r="P46" i="2"/>
  <c r="P38" i="2"/>
  <c r="P30" i="2"/>
  <c r="P22" i="2"/>
  <c r="P14" i="2"/>
  <c r="P6" i="2"/>
  <c r="P501" i="2"/>
  <c r="P493" i="2"/>
  <c r="P485" i="2"/>
  <c r="P477" i="2"/>
  <c r="P469" i="2"/>
  <c r="P461" i="2"/>
  <c r="P453" i="2"/>
  <c r="P445" i="2"/>
  <c r="P437" i="2"/>
  <c r="P429" i="2"/>
  <c r="P421" i="2"/>
  <c r="P413" i="2"/>
  <c r="P405" i="2"/>
  <c r="P397" i="2"/>
  <c r="P389" i="2"/>
  <c r="P381" i="2"/>
  <c r="P373" i="2"/>
  <c r="P365" i="2"/>
  <c r="P357" i="2"/>
  <c r="P349" i="2"/>
  <c r="P341" i="2"/>
  <c r="P333" i="2"/>
  <c r="P325" i="2"/>
  <c r="P317" i="2"/>
  <c r="P309" i="2"/>
  <c r="P301" i="2"/>
  <c r="P293" i="2"/>
  <c r="P285" i="2"/>
  <c r="P277" i="2"/>
  <c r="P269" i="2"/>
  <c r="P261" i="2"/>
  <c r="P253" i="2"/>
  <c r="P245" i="2"/>
  <c r="P237" i="2"/>
  <c r="P229" i="2"/>
  <c r="P221" i="2"/>
  <c r="P213" i="2"/>
  <c r="P205" i="2"/>
  <c r="P197" i="2"/>
  <c r="P189" i="2"/>
  <c r="P181" i="2"/>
  <c r="P173" i="2"/>
  <c r="P165" i="2"/>
  <c r="P157" i="2"/>
  <c r="P149" i="2"/>
  <c r="P141" i="2"/>
  <c r="P133" i="2"/>
  <c r="P125" i="2"/>
  <c r="P117" i="2"/>
  <c r="P109" i="2"/>
  <c r="P101" i="2"/>
  <c r="P93" i="2"/>
  <c r="P85" i="2"/>
  <c r="P77" i="2"/>
  <c r="P69" i="2"/>
  <c r="P61" i="2"/>
  <c r="P53" i="2"/>
  <c r="P45" i="2"/>
  <c r="P37" i="2"/>
  <c r="P29" i="2"/>
  <c r="P21" i="2"/>
  <c r="P13" i="2"/>
  <c r="P5" i="2"/>
  <c r="P358" i="2"/>
  <c r="P350" i="2"/>
  <c r="P342" i="2"/>
  <c r="P334" i="2"/>
  <c r="P326" i="2"/>
  <c r="P318" i="2"/>
  <c r="P310" i="2"/>
  <c r="P302" i="2"/>
  <c r="P294" i="2"/>
  <c r="P286" i="2"/>
  <c r="P278" i="2"/>
  <c r="P270" i="2"/>
  <c r="P262" i="2"/>
  <c r="P254" i="2"/>
  <c r="P246" i="2"/>
  <c r="P238" i="2"/>
  <c r="P230" i="2"/>
  <c r="P222" i="2"/>
  <c r="P214" i="2"/>
  <c r="P206" i="2"/>
  <c r="P198" i="2"/>
  <c r="P190" i="2"/>
  <c r="P500" i="2"/>
  <c r="P492" i="2"/>
  <c r="P484" i="2"/>
  <c r="P476" i="2"/>
  <c r="P468" i="2"/>
  <c r="P460" i="2"/>
  <c r="P452" i="2"/>
  <c r="P444" i="2"/>
  <c r="P436" i="2"/>
  <c r="P428" i="2"/>
  <c r="P420" i="2"/>
  <c r="P412" i="2"/>
  <c r="P404" i="2"/>
  <c r="P396" i="2"/>
  <c r="P388" i="2"/>
  <c r="P380" i="2"/>
  <c r="P372" i="2"/>
  <c r="P364" i="2"/>
  <c r="P356" i="2"/>
  <c r="P348" i="2"/>
  <c r="P340" i="2"/>
  <c r="P332" i="2"/>
  <c r="P324" i="2"/>
  <c r="P316" i="2"/>
  <c r="P308" i="2"/>
  <c r="P300" i="2"/>
  <c r="P292" i="2"/>
  <c r="P284" i="2"/>
  <c r="P276" i="2"/>
  <c r="P268" i="2"/>
  <c r="P260" i="2"/>
  <c r="P252" i="2"/>
  <c r="P244" i="2"/>
  <c r="P236" i="2"/>
  <c r="P228" i="2"/>
  <c r="P220" i="2"/>
  <c r="P212" i="2"/>
  <c r="P204" i="2"/>
  <c r="P196" i="2"/>
  <c r="P188" i="2"/>
  <c r="P180" i="2"/>
  <c r="P172" i="2"/>
  <c r="P164" i="2"/>
  <c r="P156" i="2"/>
  <c r="P148" i="2"/>
  <c r="P140" i="2"/>
  <c r="P132" i="2"/>
  <c r="P124" i="2"/>
  <c r="P116" i="2"/>
  <c r="P108" i="2"/>
  <c r="P100" i="2"/>
  <c r="P92" i="2"/>
  <c r="P84" i="2"/>
  <c r="P76" i="2"/>
  <c r="P68" i="2"/>
  <c r="P60" i="2"/>
  <c r="P52" i="2"/>
  <c r="P44" i="2"/>
  <c r="P36" i="2"/>
  <c r="P28" i="2"/>
  <c r="P20" i="2"/>
  <c r="P12" i="2"/>
  <c r="P4" i="2"/>
  <c r="P499" i="2"/>
  <c r="P491" i="2"/>
  <c r="P483" i="2"/>
  <c r="P475" i="2"/>
  <c r="P467" i="2"/>
  <c r="P459" i="2"/>
  <c r="P451" i="2"/>
  <c r="P443" i="2"/>
  <c r="P435" i="2"/>
  <c r="P427" i="2"/>
  <c r="P419" i="2"/>
  <c r="P411" i="2"/>
  <c r="P403" i="2"/>
  <c r="P395" i="2"/>
  <c r="P387" i="2"/>
  <c r="P379" i="2"/>
  <c r="P371" i="2"/>
  <c r="P363" i="2"/>
  <c r="P355" i="2"/>
  <c r="P347" i="2"/>
  <c r="P339" i="2"/>
  <c r="P331" i="2"/>
  <c r="P323" i="2"/>
  <c r="P315" i="2"/>
  <c r="P307" i="2"/>
  <c r="P299" i="2"/>
  <c r="P291" i="2"/>
  <c r="P283" i="2"/>
  <c r="P275" i="2"/>
  <c r="P267" i="2"/>
  <c r="P259" i="2"/>
  <c r="P251" i="2"/>
  <c r="P243" i="2"/>
  <c r="P235" i="2"/>
  <c r="P227" i="2"/>
  <c r="P219" i="2"/>
  <c r="P211" i="2"/>
  <c r="P203" i="2"/>
  <c r="P195" i="2"/>
  <c r="P187" i="2"/>
  <c r="P179" i="2"/>
  <c r="P171" i="2"/>
  <c r="P163" i="2"/>
  <c r="P155" i="2"/>
  <c r="P147" i="2"/>
  <c r="P139" i="2"/>
  <c r="P131" i="2"/>
  <c r="P123" i="2"/>
  <c r="P115" i="2"/>
  <c r="P107" i="2"/>
  <c r="P99" i="2"/>
  <c r="P91" i="2"/>
  <c r="P83" i="2"/>
  <c r="P75" i="2"/>
  <c r="P67" i="2"/>
  <c r="P59" i="2"/>
  <c r="P51" i="2"/>
  <c r="P43" i="2"/>
  <c r="P35" i="2"/>
  <c r="P27" i="2"/>
  <c r="P19" i="2"/>
  <c r="P11" i="2"/>
  <c r="P3" i="2"/>
  <c r="Q2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<sst xmlns="http://schemas.openxmlformats.org/spreadsheetml/2006/main" count="3031" uniqueCount="332">
  <si>
    <t>vehicle_id</t>
  </si>
  <si>
    <t>vehicle_type</t>
  </si>
  <si>
    <t>make_id</t>
  </si>
  <si>
    <t>model_year</t>
  </si>
  <si>
    <t>vehicle_desc</t>
  </si>
  <si>
    <t>color</t>
  </si>
  <si>
    <t>date_stolen</t>
  </si>
  <si>
    <t>location_id</t>
  </si>
  <si>
    <t>Trailer</t>
  </si>
  <si>
    <t>BST2021D</t>
  </si>
  <si>
    <t>Silver</t>
  </si>
  <si>
    <t>Boat Trailer</t>
  </si>
  <si>
    <t>OUTBACK BOATS FT470</t>
  </si>
  <si>
    <t>ASD JETSKI</t>
  </si>
  <si>
    <t>MSC 7X4</t>
  </si>
  <si>
    <t>D-MAX 8X5</t>
  </si>
  <si>
    <t>Roadbike</t>
  </si>
  <si>
    <t>YZF-R6T</t>
  </si>
  <si>
    <t>Black</t>
  </si>
  <si>
    <t>CAAR TRANSPORTER</t>
  </si>
  <si>
    <t>BOAT</t>
  </si>
  <si>
    <t>7X4-6" 1000KG</t>
  </si>
  <si>
    <t>8X4 TANDEM</t>
  </si>
  <si>
    <t>HOMEBUILT</t>
  </si>
  <si>
    <t>BRENT SMITH TRAILERS</t>
  </si>
  <si>
    <t>Moped</t>
  </si>
  <si>
    <t>ET2</t>
  </si>
  <si>
    <t>TODAY</t>
  </si>
  <si>
    <t>Blue</t>
  </si>
  <si>
    <t>DL650</t>
  </si>
  <si>
    <t>JOBMATE</t>
  </si>
  <si>
    <t>BSTB85B</t>
  </si>
  <si>
    <t>White</t>
  </si>
  <si>
    <t>DOMESTIC TRAILER</t>
  </si>
  <si>
    <t>APS SEADOO</t>
  </si>
  <si>
    <t>THUNDERBIRD</t>
  </si>
  <si>
    <t>LOCAL</t>
  </si>
  <si>
    <t>Trailer - Heavy</t>
  </si>
  <si>
    <t>CT DIG 25</t>
  </si>
  <si>
    <t>CHOOKS 2.4X1.6 TRANS</t>
  </si>
  <si>
    <t>EASY TILT</t>
  </si>
  <si>
    <t>IFOR WILLIAMS CT177</t>
  </si>
  <si>
    <t>CONDOR</t>
  </si>
  <si>
    <t>PRO COMMERCIAL</t>
  </si>
  <si>
    <t>FACTORY</t>
  </si>
  <si>
    <t>Grey</t>
  </si>
  <si>
    <t>TRAILER</t>
  </si>
  <si>
    <t>Green</t>
  </si>
  <si>
    <t>JFK JETSKI</t>
  </si>
  <si>
    <t>BST 2021D</t>
  </si>
  <si>
    <t>10X5 TANDEM</t>
  </si>
  <si>
    <t>HOMEMADE</t>
  </si>
  <si>
    <t>COMPASS-KH63</t>
  </si>
  <si>
    <t>TRAYLA</t>
  </si>
  <si>
    <t>PRESCOTT</t>
  </si>
  <si>
    <t>BST58OR</t>
  </si>
  <si>
    <t>TGB PALIO</t>
  </si>
  <si>
    <t>TANDEM</t>
  </si>
  <si>
    <t>DOMESTIC</t>
  </si>
  <si>
    <t>M J TANDEM AXLE</t>
  </si>
  <si>
    <t>8X4 CAGE</t>
  </si>
  <si>
    <t>Caravan</t>
  </si>
  <si>
    <t>RIVIERA 482</t>
  </si>
  <si>
    <t>XTZ660BG</t>
  </si>
  <si>
    <t>NINJA</t>
  </si>
  <si>
    <t>BRIFORD</t>
  </si>
  <si>
    <t>Yellow</t>
  </si>
  <si>
    <t>BRIFORD 8X4-6COVERED</t>
  </si>
  <si>
    <t>OLEARY</t>
  </si>
  <si>
    <t>Red</t>
  </si>
  <si>
    <t>TRAILERWORLD 9X5 HSB</t>
  </si>
  <si>
    <t>SINGLE AXLE</t>
  </si>
  <si>
    <t>TODAY 50</t>
  </si>
  <si>
    <t>IFOR WILLIAMS</t>
  </si>
  <si>
    <t>SPORTLINE</t>
  </si>
  <si>
    <t>Hatchback</t>
  </si>
  <si>
    <t>FOCUS</t>
  </si>
  <si>
    <t>TILTING FLAT DECK</t>
  </si>
  <si>
    <t>PMTRAILER</t>
  </si>
  <si>
    <t>BOAT TRAILER</t>
  </si>
  <si>
    <t>ELITE</t>
  </si>
  <si>
    <t>ELITE 7X4</t>
  </si>
  <si>
    <t>PIONEER</t>
  </si>
  <si>
    <t>Saloon</t>
  </si>
  <si>
    <t>323I</t>
  </si>
  <si>
    <t>7 X 4 STD</t>
  </si>
  <si>
    <t>ENDURO</t>
  </si>
  <si>
    <t>ELITE 8X5</t>
  </si>
  <si>
    <t>COMPASS D105</t>
  </si>
  <si>
    <t>TANK</t>
  </si>
  <si>
    <t>Stationwagon</t>
  </si>
  <si>
    <t>ALLROAD</t>
  </si>
  <si>
    <t>ELITE 8X4</t>
  </si>
  <si>
    <t>PIAGGIO</t>
  </si>
  <si>
    <t>HELMACK 8X5</t>
  </si>
  <si>
    <t>COMPASS-C85</t>
  </si>
  <si>
    <t>VT</t>
  </si>
  <si>
    <t>CBR</t>
  </si>
  <si>
    <t>JETSKI ACTION LAB</t>
  </si>
  <si>
    <t>MARTIN ENGINEERING</t>
  </si>
  <si>
    <t>TUFF</t>
  </si>
  <si>
    <t>Brown</t>
  </si>
  <si>
    <t>8X4 TRAYLA</t>
  </si>
  <si>
    <t>NYMIC</t>
  </si>
  <si>
    <t>COMPASS-D116K</t>
  </si>
  <si>
    <t>FXSTDI</t>
  </si>
  <si>
    <t>SWIFT CHARISMA 230</t>
  </si>
  <si>
    <t>Tractor</t>
  </si>
  <si>
    <t>FERGUSSON</t>
  </si>
  <si>
    <t>BST85</t>
  </si>
  <si>
    <t>LS650P</t>
  </si>
  <si>
    <t>JET SKI</t>
  </si>
  <si>
    <t>VULCAN</t>
  </si>
  <si>
    <t>EZ LOADER STABI CRAF</t>
  </si>
  <si>
    <t>MCLAY</t>
  </si>
  <si>
    <t>ENSOL TANKER</t>
  </si>
  <si>
    <t>EX</t>
  </si>
  <si>
    <t>HYOSUNG SB49M</t>
  </si>
  <si>
    <t>REID</t>
  </si>
  <si>
    <t>15X7</t>
  </si>
  <si>
    <t>KEA</t>
  </si>
  <si>
    <t>ROADCHIEF</t>
  </si>
  <si>
    <t>EXC</t>
  </si>
  <si>
    <t>Orange</t>
  </si>
  <si>
    <t>BRAKED TANDEM</t>
  </si>
  <si>
    <t>HARENG</t>
  </si>
  <si>
    <t>SPACEE 2000</t>
  </si>
  <si>
    <t>8X4 TANDEM TIPPER</t>
  </si>
  <si>
    <t>TASMAN8X5TB</t>
  </si>
  <si>
    <t>MAKZ</t>
  </si>
  <si>
    <t>ENCLOSED TRAILER</t>
  </si>
  <si>
    <t>TRANSPORTER</t>
  </si>
  <si>
    <t>TRAILER 8X4</t>
  </si>
  <si>
    <t>XPLORE 452</t>
  </si>
  <si>
    <t>HOBBS</t>
  </si>
  <si>
    <t>WILPRO</t>
  </si>
  <si>
    <t>OTHER COMMERCIAL TRA</t>
  </si>
  <si>
    <t>SINGLE AXLE 7X4</t>
  </si>
  <si>
    <t>ALPINE 4T2A</t>
  </si>
  <si>
    <t>FACTORY BUILT</t>
  </si>
  <si>
    <t>SKYLINE</t>
  </si>
  <si>
    <t>YAMAHA VXR</t>
  </si>
  <si>
    <t>ROADLINE</t>
  </si>
  <si>
    <t>HALF VISTA</t>
  </si>
  <si>
    <t>CANTERBURY FABRICAT</t>
  </si>
  <si>
    <t>4.5M FLATDECK</t>
  </si>
  <si>
    <t>Trail Bike</t>
  </si>
  <si>
    <t>SFX</t>
  </si>
  <si>
    <t>ROADCHIEF 8X5</t>
  </si>
  <si>
    <t>MM INDUSTRIES</t>
  </si>
  <si>
    <t>KC85E</t>
  </si>
  <si>
    <t>KC106AB</t>
  </si>
  <si>
    <t>CAGE</t>
  </si>
  <si>
    <t>SPORTIQUE</t>
  </si>
  <si>
    <t>Cream</t>
  </si>
  <si>
    <t>5X4</t>
  </si>
  <si>
    <t>CTDIG</t>
  </si>
  <si>
    <t>DR-Z400</t>
  </si>
  <si>
    <t>357J</t>
  </si>
  <si>
    <t>SMASH PALACE</t>
  </si>
  <si>
    <t>BRIFORD 5X4 SHUTTLE</t>
  </si>
  <si>
    <t>DIAMOND</t>
  </si>
  <si>
    <t>K844XA</t>
  </si>
  <si>
    <t>DMW</t>
  </si>
  <si>
    <t>CABLE DRUM</t>
  </si>
  <si>
    <t>KING</t>
  </si>
  <si>
    <t>HOME BUILT</t>
  </si>
  <si>
    <t>SPEEDTRIPLE</t>
  </si>
  <si>
    <t>DOLY</t>
  </si>
  <si>
    <t>GN250</t>
  </si>
  <si>
    <t>XL250</t>
  </si>
  <si>
    <t>ROOFLINE</t>
  </si>
  <si>
    <t>T D ENGINEERING</t>
  </si>
  <si>
    <t>TRADETESTED 7 X 4</t>
  </si>
  <si>
    <t>HOME MADE</t>
  </si>
  <si>
    <t>CARAVAN</t>
  </si>
  <si>
    <t>SLOAN</t>
  </si>
  <si>
    <t>7X4</t>
  </si>
  <si>
    <t>JETSKI</t>
  </si>
  <si>
    <t>FURN</t>
  </si>
  <si>
    <t>3X2 PLATFORM</t>
  </si>
  <si>
    <t>GORILLA</t>
  </si>
  <si>
    <t>UZ</t>
  </si>
  <si>
    <t>DIPLOMAT</t>
  </si>
  <si>
    <t>MOTORCYCLE</t>
  </si>
  <si>
    <t>GSX250</t>
  </si>
  <si>
    <t>VL800</t>
  </si>
  <si>
    <t>8X5 TANDEM</t>
  </si>
  <si>
    <t>OLEARY 1 AXLE</t>
  </si>
  <si>
    <t>8X5 TANDEM TRAILER</t>
  </si>
  <si>
    <t>M J SINGLE AXLE</t>
  </si>
  <si>
    <t>K64SE</t>
  </si>
  <si>
    <t>CONCEPT</t>
  </si>
  <si>
    <t>TRAILUX TRAILER</t>
  </si>
  <si>
    <t>UTILITY</t>
  </si>
  <si>
    <t>GT TRAILER</t>
  </si>
  <si>
    <t>8X5 SINGLE</t>
  </si>
  <si>
    <t>HOME BUILD</t>
  </si>
  <si>
    <t>COMPASS C85</t>
  </si>
  <si>
    <t>MAINLINE TANKER</t>
  </si>
  <si>
    <t>TBS</t>
  </si>
  <si>
    <t>GOUGH ENGINEERING</t>
  </si>
  <si>
    <t>COMPASS KH85T</t>
  </si>
  <si>
    <t>6X4</t>
  </si>
  <si>
    <t>LANTIS</t>
  </si>
  <si>
    <t>AAA375 AAKRON</t>
  </si>
  <si>
    <t>LUNA DELTA</t>
  </si>
  <si>
    <t>FLATDECK</t>
  </si>
  <si>
    <t>GSX 750</t>
  </si>
  <si>
    <t>8X4</t>
  </si>
  <si>
    <t>JII</t>
  </si>
  <si>
    <t>HOSKING</t>
  </si>
  <si>
    <t>SPORTLINE 610 HT</t>
  </si>
  <si>
    <t>PEGASO</t>
  </si>
  <si>
    <t>CV50 JOG</t>
  </si>
  <si>
    <t>HANSA CHIPPER</t>
  </si>
  <si>
    <t>GSX600F</t>
  </si>
  <si>
    <t>KEA MX4</t>
  </si>
  <si>
    <t>GSX</t>
  </si>
  <si>
    <t>AFC JETSKI</t>
  </si>
  <si>
    <t>RSKF1F27.9</t>
  </si>
  <si>
    <t>PEGEANT S7 LOIRE</t>
  </si>
  <si>
    <t>ZL 900</t>
  </si>
  <si>
    <t>BRI-INN</t>
  </si>
  <si>
    <t>JEYSKI ACTION LAB</t>
  </si>
  <si>
    <t>AUCKLAND</t>
  </si>
  <si>
    <t>GV</t>
  </si>
  <si>
    <t>CHEVRON 1300</t>
  </si>
  <si>
    <t>FUTURA</t>
  </si>
  <si>
    <t>GN125H</t>
  </si>
  <si>
    <t>K85S</t>
  </si>
  <si>
    <t>GS</t>
  </si>
  <si>
    <t>8X5</t>
  </si>
  <si>
    <t>11X5</t>
  </si>
  <si>
    <t>TRAILERWAY</t>
  </si>
  <si>
    <t>Light Van</t>
  </si>
  <si>
    <t>REGIUS</t>
  </si>
  <si>
    <t>9X4 6 TANDEM</t>
  </si>
  <si>
    <t>GT</t>
  </si>
  <si>
    <t>BESSACARR CAMEO 625</t>
  </si>
  <si>
    <t>TRAILER PRO</t>
  </si>
  <si>
    <t>BARNWELL ARCHWAY</t>
  </si>
  <si>
    <t>CAR CARRIER</t>
  </si>
  <si>
    <t>COMPASS-FPT104</t>
  </si>
  <si>
    <t>GIBBONS</t>
  </si>
  <si>
    <t>P.S.</t>
  </si>
  <si>
    <t>GSX650F</t>
  </si>
  <si>
    <t>FOXENG 1000</t>
  </si>
  <si>
    <t>AZ50 UDK6</t>
  </si>
  <si>
    <t>COOPER</t>
  </si>
  <si>
    <t>SOFTAIL</t>
  </si>
  <si>
    <t>BOX TRAILER</t>
  </si>
  <si>
    <t>ZEPHYR</t>
  </si>
  <si>
    <t>ROADCHEF</t>
  </si>
  <si>
    <t>SV1000S</t>
  </si>
  <si>
    <t>GSX750F</t>
  </si>
  <si>
    <t>PRATTLEY</t>
  </si>
  <si>
    <t>JOB MATE 7 X 4</t>
  </si>
  <si>
    <t>XAS48XD ROAD COMPRES</t>
  </si>
  <si>
    <t>NVS50</t>
  </si>
  <si>
    <t>XL</t>
  </si>
  <si>
    <t>MUDGWAY</t>
  </si>
  <si>
    <t>TPM</t>
  </si>
  <si>
    <t>PRO AUTO</t>
  </si>
  <si>
    <t>UZ50</t>
  </si>
  <si>
    <t>FOXENG 850</t>
  </si>
  <si>
    <t>ROAD CHIEF TR74CS/1</t>
  </si>
  <si>
    <t>CAR</t>
  </si>
  <si>
    <t>10 X 5</t>
  </si>
  <si>
    <t>HAULER 7X4 TIPPING</t>
  </si>
  <si>
    <t>RB</t>
  </si>
  <si>
    <t>EXCAVATOR TRAILER</t>
  </si>
  <si>
    <t>FOOD CART</t>
  </si>
  <si>
    <t>COMPASS OMEGA 534</t>
  </si>
  <si>
    <t>VOYAGER A16M</t>
  </si>
  <si>
    <t>WAVERUNNER</t>
  </si>
  <si>
    <t>KC95</t>
  </si>
  <si>
    <t>LUNAR</t>
  </si>
  <si>
    <t>730I</t>
  </si>
  <si>
    <t>SWIFT CHALLENGER 570</t>
  </si>
  <si>
    <t>ECCLES</t>
  </si>
  <si>
    <t>FZS</t>
  </si>
  <si>
    <t>8-BALL</t>
  </si>
  <si>
    <t>Gold</t>
  </si>
  <si>
    <t>D-MAX FLATDECK</t>
  </si>
  <si>
    <t>MAGNA</t>
  </si>
  <si>
    <t>KC846</t>
  </si>
  <si>
    <t>TANDEM TRAILER</t>
  </si>
  <si>
    <t>VESPA</t>
  </si>
  <si>
    <t>CRUISER</t>
  </si>
  <si>
    <t>CUSTOMS BUIL</t>
  </si>
  <si>
    <t>SJ125</t>
  </si>
  <si>
    <t>JOG</t>
  </si>
  <si>
    <t>GT PRODUCTS</t>
  </si>
  <si>
    <t>CI MUNRO</t>
  </si>
  <si>
    <t>ASD JET SKI</t>
  </si>
  <si>
    <t>XV250SL</t>
  </si>
  <si>
    <t>LIGHT</t>
  </si>
  <si>
    <t>SXV</t>
  </si>
  <si>
    <t>CB</t>
  </si>
  <si>
    <t>STARCRAFT</t>
  </si>
  <si>
    <t>BES1500</t>
  </si>
  <si>
    <t>PL27084 ACCESS</t>
  </si>
  <si>
    <t>TRANSPORT MGE</t>
  </si>
  <si>
    <t>TUI</t>
  </si>
  <si>
    <t>VULCAN C8X5T</t>
  </si>
  <si>
    <t>TOP GEAR</t>
  </si>
  <si>
    <t>K844T</t>
  </si>
  <si>
    <t>EASY TILI</t>
  </si>
  <si>
    <t>BUNNINGS</t>
  </si>
  <si>
    <t>RED RUNNER H/B</t>
  </si>
  <si>
    <t>844X</t>
  </si>
  <si>
    <t>CX</t>
  </si>
  <si>
    <t>BOX</t>
  </si>
  <si>
    <t>CAR TRANSPORTER</t>
  </si>
  <si>
    <t>JET EURO X</t>
  </si>
  <si>
    <t>BRENT SMITH TB1</t>
  </si>
  <si>
    <t>region{Locations}</t>
  </si>
  <si>
    <t>country{Locations}</t>
  </si>
  <si>
    <t>make_name{makeDetails}</t>
  </si>
  <si>
    <t>make_type{makeDetails}</t>
  </si>
  <si>
    <t>B:B{Vlookup}</t>
  </si>
  <si>
    <t>F:F{Xlookup}</t>
  </si>
  <si>
    <t>E:E{indexMatch}</t>
  </si>
  <si>
    <t>countOfDateStolen/locationID</t>
  </si>
  <si>
    <t>countOfDateStolen</t>
  </si>
  <si>
    <t>countOfDateStolen/locationID{Xlookup}</t>
  </si>
  <si>
    <t>ProductID{indexMatch}</t>
  </si>
  <si>
    <t>makeID{indexMatch}</t>
  </si>
  <si>
    <t>color{indexMatch}</t>
  </si>
  <si>
    <t>makeID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</si>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</sst>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b/>
      <sz val="10"/>
      <color rgb="FF99336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4D79"/>
        <bgColor rgb="FFA64D79"/>
      </patternFill>
    </fill>
    <fill>
      <patternFill patternType="solid">
        <fgColor theme="2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14" fontId="2" fillId="0" borderId="0" xfId="0" applyNumberFormat="1" applyFont="1" applyAlignment="1">
      <alignment horizontal="right"/>
    </xf>
    <xf numFmtId="14" fontId="2" fillId="0" borderId="0" xfId="0" applyNumberFormat="1" applyFont="1"/>
    <xf numFmtId="14" fontId="3" fillId="0" borderId="0" xfId="0" applyNumberFormat="1" applyFon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3" borderId="0" xfId="0" applyFont="1" applyFill="1" applyAlignment="1">
      <alignment horizontal="right"/>
    </xf>
    <xf numFmtId="0" fontId="2" fillId="3" borderId="0" xfId="0" applyFont="1" applyFill="1"/>
    <xf numFmtId="14" fontId="2" fillId="3" borderId="0" xfId="0" applyNumberFormat="1" applyFont="1" applyFill="1" applyAlignment="1">
      <alignment horizontal="right"/>
    </xf>
    <xf numFmtId="14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elcome\Downloads\ExcelActivities\LookUp&amp;IndexMatch\locations.xlsx" TargetMode="External"/><Relationship Id="rId1" Type="http://schemas.openxmlformats.org/officeDocument/2006/relationships/externalLinkPath" Target="location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ke-detai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elcome\Downloads\ExcelActivities\LookUp&amp;IndexMatch\make-details.xlsx" TargetMode="External"/><Relationship Id="rId1" Type="http://schemas.openxmlformats.org/officeDocument/2006/relationships/externalLinkPath" Target="make-detai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cations"/>
    </sheetNames>
    <sheetDataSet>
      <sheetData sheetId="0">
        <row r="1">
          <cell r="A1" t="str">
            <v>location_id</v>
          </cell>
          <cell r="B1" t="str">
            <v>region</v>
          </cell>
          <cell r="C1" t="str">
            <v>country</v>
          </cell>
        </row>
        <row r="2">
          <cell r="A2">
            <v>101</v>
          </cell>
          <cell r="B2" t="str">
            <v>Northland</v>
          </cell>
          <cell r="C2" t="str">
            <v>New Zealand</v>
          </cell>
        </row>
        <row r="3">
          <cell r="A3">
            <v>102</v>
          </cell>
          <cell r="B3" t="str">
            <v>Auckland</v>
          </cell>
          <cell r="C3" t="str">
            <v>New Zealand</v>
          </cell>
        </row>
        <row r="4">
          <cell r="A4">
            <v>103</v>
          </cell>
          <cell r="B4" t="str">
            <v>Waikato</v>
          </cell>
          <cell r="C4" t="str">
            <v>New Zealand</v>
          </cell>
        </row>
        <row r="5">
          <cell r="A5">
            <v>104</v>
          </cell>
          <cell r="B5" t="str">
            <v>Bay of Plenty</v>
          </cell>
          <cell r="C5" t="str">
            <v>New Zealand</v>
          </cell>
        </row>
        <row r="6">
          <cell r="A6">
            <v>105</v>
          </cell>
          <cell r="B6" t="str">
            <v>Gisborne</v>
          </cell>
          <cell r="C6" t="str">
            <v>New Zealand</v>
          </cell>
        </row>
        <row r="7">
          <cell r="A7">
            <v>106</v>
          </cell>
          <cell r="B7" t="str">
            <v>Hawke's Bay</v>
          </cell>
          <cell r="C7" t="str">
            <v>New Zealand</v>
          </cell>
        </row>
        <row r="8">
          <cell r="A8">
            <v>107</v>
          </cell>
          <cell r="B8" t="str">
            <v>Taranaki</v>
          </cell>
          <cell r="C8" t="str">
            <v>New Zealand</v>
          </cell>
        </row>
        <row r="9">
          <cell r="A9">
            <v>108</v>
          </cell>
          <cell r="B9" t="str">
            <v>Manawatū-Whanganui</v>
          </cell>
          <cell r="C9" t="str">
            <v>New Zealand</v>
          </cell>
        </row>
        <row r="10">
          <cell r="A10">
            <v>109</v>
          </cell>
          <cell r="B10" t="str">
            <v>Wellington</v>
          </cell>
          <cell r="C10" t="str">
            <v>New Zealand</v>
          </cell>
        </row>
        <row r="11">
          <cell r="A11">
            <v>110</v>
          </cell>
          <cell r="B11" t="str">
            <v>Tasman</v>
          </cell>
          <cell r="C11" t="str">
            <v>New Zealand</v>
          </cell>
        </row>
        <row r="12">
          <cell r="A12">
            <v>111</v>
          </cell>
          <cell r="B12" t="str">
            <v>Nelson</v>
          </cell>
          <cell r="C12" t="str">
            <v>New Zealand</v>
          </cell>
        </row>
        <row r="13">
          <cell r="A13">
            <v>112</v>
          </cell>
          <cell r="B13" t="str">
            <v>Marlborough</v>
          </cell>
          <cell r="C13" t="str">
            <v>New Zealand</v>
          </cell>
        </row>
        <row r="14">
          <cell r="A14">
            <v>113</v>
          </cell>
          <cell r="B14" t="str">
            <v>West Coast</v>
          </cell>
          <cell r="C14" t="str">
            <v>New Zealand</v>
          </cell>
        </row>
        <row r="15">
          <cell r="A15">
            <v>114</v>
          </cell>
          <cell r="B15" t="str">
            <v>Canterbury</v>
          </cell>
          <cell r="C15" t="str">
            <v>New Zealand</v>
          </cell>
        </row>
        <row r="16">
          <cell r="A16">
            <v>115</v>
          </cell>
          <cell r="B16" t="str">
            <v>Otago</v>
          </cell>
          <cell r="C16" t="str">
            <v>New Zealand</v>
          </cell>
        </row>
        <row r="17">
          <cell r="A17">
            <v>116</v>
          </cell>
          <cell r="B17" t="str">
            <v>Southland</v>
          </cell>
          <cell r="C17" t="str">
            <v>New Zealand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ke_Details"/>
    </sheetNames>
    <sheetDataSet>
      <sheetData sheetId="0">
        <row r="1">
          <cell r="A1" t="str">
            <v>make_id</v>
          </cell>
          <cell r="B1" t="str">
            <v>make_name</v>
          </cell>
        </row>
        <row r="2">
          <cell r="A2">
            <v>501</v>
          </cell>
          <cell r="B2" t="str">
            <v>Aakron Xpress</v>
          </cell>
        </row>
        <row r="3">
          <cell r="A3">
            <v>502</v>
          </cell>
          <cell r="B3" t="str">
            <v>ADLY</v>
          </cell>
        </row>
        <row r="4">
          <cell r="A4">
            <v>503</v>
          </cell>
          <cell r="B4" t="str">
            <v>Alpha</v>
          </cell>
        </row>
        <row r="5">
          <cell r="A5">
            <v>504</v>
          </cell>
          <cell r="B5" t="str">
            <v>Anglo</v>
          </cell>
        </row>
        <row r="6">
          <cell r="A6">
            <v>505</v>
          </cell>
          <cell r="B6" t="str">
            <v>Aprilia</v>
          </cell>
        </row>
        <row r="7">
          <cell r="A7">
            <v>506</v>
          </cell>
          <cell r="B7" t="str">
            <v>Atlas</v>
          </cell>
        </row>
        <row r="8">
          <cell r="A8">
            <v>507</v>
          </cell>
          <cell r="B8" t="str">
            <v>Audi</v>
          </cell>
        </row>
        <row r="9">
          <cell r="A9">
            <v>508</v>
          </cell>
          <cell r="B9" t="str">
            <v>Bailey</v>
          </cell>
        </row>
        <row r="10">
          <cell r="A10">
            <v>509</v>
          </cell>
          <cell r="B10" t="str">
            <v>Bedford</v>
          </cell>
        </row>
        <row r="11">
          <cell r="A11">
            <v>510</v>
          </cell>
          <cell r="B11" t="str">
            <v>Benelli</v>
          </cell>
        </row>
        <row r="12">
          <cell r="A12">
            <v>511</v>
          </cell>
          <cell r="B12" t="str">
            <v>Bentley</v>
          </cell>
        </row>
        <row r="13">
          <cell r="A13">
            <v>512</v>
          </cell>
          <cell r="B13" t="str">
            <v>BMW</v>
          </cell>
        </row>
        <row r="14">
          <cell r="A14">
            <v>513</v>
          </cell>
          <cell r="B14" t="str">
            <v>Bricon</v>
          </cell>
        </row>
        <row r="15">
          <cell r="A15">
            <v>514</v>
          </cell>
          <cell r="B15" t="str">
            <v>Briford</v>
          </cell>
        </row>
        <row r="16">
          <cell r="A16">
            <v>515</v>
          </cell>
          <cell r="B16" t="str">
            <v>Buell</v>
          </cell>
        </row>
        <row r="17">
          <cell r="A17">
            <v>516</v>
          </cell>
          <cell r="B17" t="str">
            <v>Buffalo</v>
          </cell>
        </row>
        <row r="18">
          <cell r="A18">
            <v>517</v>
          </cell>
          <cell r="B18" t="str">
            <v>Cadillac</v>
          </cell>
        </row>
        <row r="19">
          <cell r="A19">
            <v>518</v>
          </cell>
          <cell r="B19" t="str">
            <v>Can-Am</v>
          </cell>
        </row>
        <row r="20">
          <cell r="A20">
            <v>519</v>
          </cell>
          <cell r="B20" t="str">
            <v>Caravan</v>
          </cell>
        </row>
        <row r="21">
          <cell r="A21">
            <v>520</v>
          </cell>
          <cell r="B21" t="str">
            <v>Caterpillar</v>
          </cell>
        </row>
        <row r="22">
          <cell r="A22">
            <v>521</v>
          </cell>
          <cell r="B22" t="str">
            <v>Chery</v>
          </cell>
        </row>
        <row r="23">
          <cell r="A23">
            <v>522</v>
          </cell>
          <cell r="B23" t="str">
            <v>Chevrolet</v>
          </cell>
        </row>
        <row r="24">
          <cell r="A24">
            <v>523</v>
          </cell>
          <cell r="B24" t="str">
            <v>Chrysler</v>
          </cell>
        </row>
        <row r="25">
          <cell r="A25">
            <v>524</v>
          </cell>
          <cell r="B25" t="str">
            <v>Citroen</v>
          </cell>
        </row>
        <row r="26">
          <cell r="A26">
            <v>525</v>
          </cell>
          <cell r="B26" t="str">
            <v>Classic</v>
          </cell>
        </row>
        <row r="27">
          <cell r="A27">
            <v>526</v>
          </cell>
          <cell r="B27" t="str">
            <v>Crusader</v>
          </cell>
        </row>
        <row r="28">
          <cell r="A28">
            <v>527</v>
          </cell>
          <cell r="B28" t="str">
            <v>Custombuilt</v>
          </cell>
        </row>
        <row r="29">
          <cell r="A29">
            <v>528</v>
          </cell>
          <cell r="B29" t="str">
            <v>Dacia</v>
          </cell>
        </row>
        <row r="30">
          <cell r="A30">
            <v>529</v>
          </cell>
          <cell r="B30" t="str">
            <v>Daewoo</v>
          </cell>
        </row>
        <row r="31">
          <cell r="A31">
            <v>530</v>
          </cell>
          <cell r="B31" t="str">
            <v>DAF</v>
          </cell>
        </row>
        <row r="32">
          <cell r="A32">
            <v>531</v>
          </cell>
          <cell r="B32" t="str">
            <v>Daihatsu</v>
          </cell>
        </row>
        <row r="33">
          <cell r="A33">
            <v>532</v>
          </cell>
          <cell r="B33" t="str">
            <v>Diamond</v>
          </cell>
        </row>
        <row r="34">
          <cell r="A34">
            <v>533</v>
          </cell>
          <cell r="B34" t="str">
            <v>DMW</v>
          </cell>
        </row>
        <row r="35">
          <cell r="A35">
            <v>534</v>
          </cell>
          <cell r="B35" t="str">
            <v>Dodge</v>
          </cell>
        </row>
        <row r="36">
          <cell r="A36">
            <v>535</v>
          </cell>
          <cell r="B36" t="str">
            <v>Domett</v>
          </cell>
        </row>
        <row r="37">
          <cell r="A37">
            <v>536</v>
          </cell>
          <cell r="B37" t="str">
            <v>Ducati</v>
          </cell>
        </row>
        <row r="38">
          <cell r="A38">
            <v>537</v>
          </cell>
          <cell r="B38" t="str">
            <v>Elddis</v>
          </cell>
        </row>
        <row r="39">
          <cell r="A39">
            <v>538</v>
          </cell>
          <cell r="B39" t="str">
            <v>Factory Built</v>
          </cell>
        </row>
        <row r="40">
          <cell r="A40">
            <v>539</v>
          </cell>
          <cell r="B40" t="str">
            <v>Ferrari</v>
          </cell>
        </row>
        <row r="41">
          <cell r="A41">
            <v>540</v>
          </cell>
          <cell r="B41" t="str">
            <v>Ford</v>
          </cell>
        </row>
        <row r="42">
          <cell r="A42">
            <v>541</v>
          </cell>
          <cell r="B42" t="str">
            <v>Forza</v>
          </cell>
        </row>
        <row r="43">
          <cell r="A43">
            <v>542</v>
          </cell>
          <cell r="B43" t="str">
            <v>FOTON</v>
          </cell>
        </row>
        <row r="44">
          <cell r="A44">
            <v>543</v>
          </cell>
          <cell r="B44" t="str">
            <v>Fuso</v>
          </cell>
        </row>
        <row r="45">
          <cell r="A45">
            <v>544</v>
          </cell>
          <cell r="B45" t="str">
            <v>Great Wall</v>
          </cell>
        </row>
        <row r="46">
          <cell r="A46">
            <v>545</v>
          </cell>
          <cell r="B46" t="str">
            <v>Harley Davidson</v>
          </cell>
        </row>
        <row r="47">
          <cell r="A47">
            <v>546</v>
          </cell>
          <cell r="B47" t="str">
            <v>Hino</v>
          </cell>
        </row>
        <row r="48">
          <cell r="A48">
            <v>547</v>
          </cell>
          <cell r="B48" t="str">
            <v>Hitachi</v>
          </cell>
        </row>
        <row r="49">
          <cell r="A49">
            <v>548</v>
          </cell>
          <cell r="B49" t="str">
            <v>Holden</v>
          </cell>
        </row>
        <row r="50">
          <cell r="A50">
            <v>549</v>
          </cell>
          <cell r="B50" t="str">
            <v>Homebuilt</v>
          </cell>
        </row>
        <row r="51">
          <cell r="A51">
            <v>550</v>
          </cell>
          <cell r="B51" t="str">
            <v>Honda</v>
          </cell>
        </row>
        <row r="52">
          <cell r="A52">
            <v>551</v>
          </cell>
          <cell r="B52" t="str">
            <v>Hoskings</v>
          </cell>
        </row>
        <row r="53">
          <cell r="A53">
            <v>552</v>
          </cell>
          <cell r="B53" t="str">
            <v>Husaberg</v>
          </cell>
        </row>
        <row r="54">
          <cell r="A54">
            <v>553</v>
          </cell>
          <cell r="B54" t="str">
            <v>Husqvarna</v>
          </cell>
        </row>
        <row r="55">
          <cell r="A55">
            <v>554</v>
          </cell>
          <cell r="B55" t="str">
            <v>Hyosung</v>
          </cell>
        </row>
        <row r="56">
          <cell r="A56">
            <v>555</v>
          </cell>
          <cell r="B56" t="str">
            <v>Hyundai</v>
          </cell>
        </row>
        <row r="57">
          <cell r="A57">
            <v>556</v>
          </cell>
          <cell r="B57" t="str">
            <v>Isuzu</v>
          </cell>
        </row>
        <row r="58">
          <cell r="A58">
            <v>557</v>
          </cell>
          <cell r="B58" t="str">
            <v>Jaguar</v>
          </cell>
        </row>
        <row r="59">
          <cell r="A59">
            <v>558</v>
          </cell>
          <cell r="B59" t="str">
            <v>Jayco</v>
          </cell>
        </row>
        <row r="60">
          <cell r="A60">
            <v>559</v>
          </cell>
          <cell r="B60" t="str">
            <v>Jeep</v>
          </cell>
        </row>
        <row r="61">
          <cell r="A61">
            <v>560</v>
          </cell>
          <cell r="B61" t="str">
            <v>John Deere</v>
          </cell>
        </row>
        <row r="62">
          <cell r="A62">
            <v>561</v>
          </cell>
          <cell r="B62" t="str">
            <v>Kawasaki</v>
          </cell>
        </row>
        <row r="63">
          <cell r="A63">
            <v>562</v>
          </cell>
          <cell r="B63" t="str">
            <v>Kea</v>
          </cell>
        </row>
        <row r="64">
          <cell r="A64">
            <v>563</v>
          </cell>
          <cell r="B64" t="str">
            <v>Keeway</v>
          </cell>
        </row>
        <row r="65">
          <cell r="A65">
            <v>564</v>
          </cell>
          <cell r="B65" t="str">
            <v>Kia</v>
          </cell>
        </row>
        <row r="66">
          <cell r="A66">
            <v>565</v>
          </cell>
          <cell r="B66" t="str">
            <v>KTM</v>
          </cell>
        </row>
        <row r="67">
          <cell r="A67">
            <v>566</v>
          </cell>
          <cell r="B67" t="str">
            <v>Kymco</v>
          </cell>
        </row>
        <row r="68">
          <cell r="A68">
            <v>567</v>
          </cell>
          <cell r="B68" t="str">
            <v>Lambretta</v>
          </cell>
        </row>
        <row r="69">
          <cell r="A69">
            <v>568</v>
          </cell>
          <cell r="B69" t="str">
            <v>Land Rover</v>
          </cell>
        </row>
        <row r="70">
          <cell r="A70">
            <v>569</v>
          </cell>
          <cell r="B70" t="str">
            <v>Landrover</v>
          </cell>
        </row>
        <row r="71">
          <cell r="A71">
            <v>570</v>
          </cell>
          <cell r="B71" t="str">
            <v>Lexus</v>
          </cell>
        </row>
        <row r="72">
          <cell r="A72">
            <v>571</v>
          </cell>
          <cell r="B72" t="str">
            <v>Liteweight</v>
          </cell>
        </row>
        <row r="73">
          <cell r="A73">
            <v>572</v>
          </cell>
          <cell r="B73" t="str">
            <v>Lochiel</v>
          </cell>
        </row>
        <row r="74">
          <cell r="A74">
            <v>573</v>
          </cell>
          <cell r="B74" t="str">
            <v>Mahindra</v>
          </cell>
        </row>
        <row r="75">
          <cell r="A75">
            <v>574</v>
          </cell>
          <cell r="B75" t="str">
            <v>Maserati</v>
          </cell>
        </row>
        <row r="76">
          <cell r="A76">
            <v>575</v>
          </cell>
          <cell r="B76" t="str">
            <v>Massey</v>
          </cell>
        </row>
        <row r="77">
          <cell r="A77">
            <v>576</v>
          </cell>
          <cell r="B77" t="str">
            <v>Mazda</v>
          </cell>
        </row>
        <row r="78">
          <cell r="A78">
            <v>577</v>
          </cell>
          <cell r="B78" t="str">
            <v>Mercedes-Benz</v>
          </cell>
        </row>
        <row r="79">
          <cell r="A79">
            <v>578</v>
          </cell>
          <cell r="B79" t="str">
            <v>MG</v>
          </cell>
        </row>
        <row r="80">
          <cell r="A80">
            <v>579</v>
          </cell>
          <cell r="B80" t="str">
            <v>Mini</v>
          </cell>
        </row>
        <row r="81">
          <cell r="A81">
            <v>580</v>
          </cell>
          <cell r="B81" t="str">
            <v>Mitsubishi</v>
          </cell>
        </row>
        <row r="82">
          <cell r="A82">
            <v>581</v>
          </cell>
          <cell r="B82" t="str">
            <v>Mitsubishio Fuso</v>
          </cell>
        </row>
        <row r="83">
          <cell r="A83">
            <v>582</v>
          </cell>
          <cell r="B83" t="str">
            <v>Mobile Machine</v>
          </cell>
        </row>
        <row r="84">
          <cell r="A84">
            <v>583</v>
          </cell>
          <cell r="B84" t="str">
            <v>Moden</v>
          </cell>
        </row>
        <row r="85">
          <cell r="A85">
            <v>584</v>
          </cell>
          <cell r="B85" t="str">
            <v>Mono - Way</v>
          </cell>
        </row>
        <row r="86">
          <cell r="A86">
            <v>585</v>
          </cell>
          <cell r="B86" t="str">
            <v>Moped</v>
          </cell>
        </row>
        <row r="87">
          <cell r="A87">
            <v>586</v>
          </cell>
          <cell r="B87" t="str">
            <v>Morris</v>
          </cell>
        </row>
        <row r="88">
          <cell r="A88">
            <v>587</v>
          </cell>
          <cell r="B88" t="str">
            <v>Nissan</v>
          </cell>
        </row>
        <row r="89">
          <cell r="A89">
            <v>588</v>
          </cell>
          <cell r="B89" t="str">
            <v>Nissan Diesel</v>
          </cell>
        </row>
        <row r="90">
          <cell r="A90">
            <v>589</v>
          </cell>
          <cell r="B90" t="str">
            <v>Niu</v>
          </cell>
        </row>
        <row r="91">
          <cell r="A91">
            <v>590</v>
          </cell>
          <cell r="B91" t="str">
            <v>Over</v>
          </cell>
        </row>
        <row r="92">
          <cell r="A92">
            <v>591</v>
          </cell>
          <cell r="B92" t="str">
            <v>Oxford</v>
          </cell>
        </row>
        <row r="93">
          <cell r="A93">
            <v>592</v>
          </cell>
          <cell r="B93" t="str">
            <v>Peugeot</v>
          </cell>
        </row>
        <row r="94">
          <cell r="A94">
            <v>593</v>
          </cell>
          <cell r="B94" t="str">
            <v>PGO</v>
          </cell>
        </row>
        <row r="95">
          <cell r="A95">
            <v>594</v>
          </cell>
          <cell r="B95" t="str">
            <v>Piaggio</v>
          </cell>
        </row>
        <row r="96">
          <cell r="A96">
            <v>595</v>
          </cell>
          <cell r="B96" t="str">
            <v>Pinto</v>
          </cell>
        </row>
        <row r="97">
          <cell r="A97">
            <v>596</v>
          </cell>
          <cell r="B97" t="str">
            <v>Porsche</v>
          </cell>
        </row>
        <row r="98">
          <cell r="A98">
            <v>597</v>
          </cell>
          <cell r="B98" t="str">
            <v>Reid</v>
          </cell>
        </row>
        <row r="99">
          <cell r="A99">
            <v>598</v>
          </cell>
          <cell r="B99" t="str">
            <v>Renault</v>
          </cell>
        </row>
        <row r="100">
          <cell r="A100">
            <v>599</v>
          </cell>
          <cell r="B100" t="str">
            <v>Rhino</v>
          </cell>
        </row>
        <row r="101">
          <cell r="A101">
            <v>600</v>
          </cell>
          <cell r="B101" t="str">
            <v>Rover</v>
          </cell>
        </row>
        <row r="102">
          <cell r="A102">
            <v>601</v>
          </cell>
          <cell r="B102" t="str">
            <v>Royal Enfield</v>
          </cell>
        </row>
        <row r="103">
          <cell r="A103">
            <v>602</v>
          </cell>
          <cell r="B103" t="str">
            <v>Saab</v>
          </cell>
        </row>
        <row r="104">
          <cell r="A104">
            <v>603</v>
          </cell>
          <cell r="B104" t="str">
            <v>Scomadi</v>
          </cell>
        </row>
        <row r="105">
          <cell r="A105">
            <v>604</v>
          </cell>
          <cell r="B105" t="str">
            <v>Seat</v>
          </cell>
        </row>
        <row r="106">
          <cell r="A106">
            <v>605</v>
          </cell>
          <cell r="B106" t="str">
            <v>Skoda</v>
          </cell>
        </row>
        <row r="107">
          <cell r="A107">
            <v>606</v>
          </cell>
          <cell r="B107" t="str">
            <v>Sprite</v>
          </cell>
        </row>
        <row r="108">
          <cell r="A108">
            <v>607</v>
          </cell>
          <cell r="B108" t="str">
            <v>Ssangyong</v>
          </cell>
        </row>
        <row r="109">
          <cell r="A109">
            <v>608</v>
          </cell>
          <cell r="B109" t="str">
            <v>Steelbro</v>
          </cell>
        </row>
        <row r="110">
          <cell r="A110">
            <v>609</v>
          </cell>
          <cell r="B110" t="str">
            <v>Sterling</v>
          </cell>
        </row>
        <row r="111">
          <cell r="A111">
            <v>610</v>
          </cell>
          <cell r="B111" t="str">
            <v>Subaru</v>
          </cell>
        </row>
        <row r="112">
          <cell r="A112">
            <v>611</v>
          </cell>
          <cell r="B112" t="str">
            <v>Suzuki</v>
          </cell>
        </row>
        <row r="113">
          <cell r="A113">
            <v>612</v>
          </cell>
          <cell r="B113" t="str">
            <v>Swift</v>
          </cell>
        </row>
        <row r="114">
          <cell r="A114">
            <v>613</v>
          </cell>
          <cell r="B114" t="str">
            <v>SYM</v>
          </cell>
        </row>
        <row r="115">
          <cell r="A115">
            <v>614</v>
          </cell>
          <cell r="B115" t="str">
            <v>Takeuchi</v>
          </cell>
        </row>
        <row r="116">
          <cell r="A116">
            <v>615</v>
          </cell>
          <cell r="B116" t="str">
            <v>TGB</v>
          </cell>
        </row>
        <row r="117">
          <cell r="A117">
            <v>616</v>
          </cell>
          <cell r="B117" t="str">
            <v>Titan</v>
          </cell>
        </row>
        <row r="118">
          <cell r="A118">
            <v>617</v>
          </cell>
          <cell r="B118" t="str">
            <v>TNT Motor</v>
          </cell>
        </row>
        <row r="119">
          <cell r="A119">
            <v>618</v>
          </cell>
          <cell r="B119" t="str">
            <v>Toko</v>
          </cell>
        </row>
        <row r="120">
          <cell r="A120">
            <v>619</v>
          </cell>
          <cell r="B120" t="str">
            <v>Toyota</v>
          </cell>
        </row>
        <row r="121">
          <cell r="A121">
            <v>620</v>
          </cell>
          <cell r="B121" t="str">
            <v>Toyota Lexus</v>
          </cell>
        </row>
        <row r="122">
          <cell r="A122">
            <v>621</v>
          </cell>
          <cell r="B122" t="str">
            <v>Tractor</v>
          </cell>
        </row>
        <row r="123">
          <cell r="A123">
            <v>622</v>
          </cell>
          <cell r="B123" t="str">
            <v>Trail-Lite</v>
          </cell>
        </row>
        <row r="124">
          <cell r="A124">
            <v>623</v>
          </cell>
          <cell r="B124" t="str">
            <v>Trailer</v>
          </cell>
        </row>
        <row r="125">
          <cell r="A125">
            <v>624</v>
          </cell>
          <cell r="B125" t="str">
            <v>Trike</v>
          </cell>
        </row>
        <row r="126">
          <cell r="A126">
            <v>625</v>
          </cell>
          <cell r="B126" t="str">
            <v>Triumph</v>
          </cell>
        </row>
        <row r="127">
          <cell r="A127">
            <v>626</v>
          </cell>
          <cell r="B127" t="str">
            <v>Trojan</v>
          </cell>
        </row>
        <row r="128">
          <cell r="A128">
            <v>627</v>
          </cell>
          <cell r="B128" t="str">
            <v>Ubco</v>
          </cell>
        </row>
        <row r="129">
          <cell r="A129">
            <v>628</v>
          </cell>
          <cell r="B129" t="str">
            <v>Universal</v>
          </cell>
        </row>
        <row r="130">
          <cell r="A130">
            <v>629</v>
          </cell>
          <cell r="B130" t="str">
            <v>Vespa</v>
          </cell>
        </row>
        <row r="131">
          <cell r="A131">
            <v>630</v>
          </cell>
          <cell r="B131" t="str">
            <v>Veteran</v>
          </cell>
        </row>
        <row r="132">
          <cell r="A132">
            <v>631</v>
          </cell>
          <cell r="B132" t="str">
            <v>Victory</v>
          </cell>
        </row>
        <row r="133">
          <cell r="A133">
            <v>632</v>
          </cell>
          <cell r="B133" t="str">
            <v>Vmoto</v>
          </cell>
        </row>
        <row r="134">
          <cell r="A134">
            <v>633</v>
          </cell>
          <cell r="B134" t="str">
            <v>Volkswagen</v>
          </cell>
        </row>
        <row r="135">
          <cell r="A135">
            <v>634</v>
          </cell>
          <cell r="B135" t="str">
            <v>Volvo</v>
          </cell>
        </row>
        <row r="136">
          <cell r="A136">
            <v>635</v>
          </cell>
          <cell r="B136" t="str">
            <v>Voyager</v>
          </cell>
        </row>
        <row r="137">
          <cell r="A137">
            <v>636</v>
          </cell>
          <cell r="B137" t="str">
            <v>Yamaha</v>
          </cell>
        </row>
        <row r="138">
          <cell r="A138">
            <v>637</v>
          </cell>
          <cell r="B138" t="str">
            <v>Zephyr</v>
          </cell>
        </row>
        <row r="139">
          <cell r="A139">
            <v>638</v>
          </cell>
          <cell r="B139" t="str">
            <v>Znen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ke_Details"/>
    </sheetNames>
    <sheetDataSet>
      <sheetData sheetId="0">
        <row r="1">
          <cell r="A1" t="str">
            <v>make_id</v>
          </cell>
          <cell r="B1" t="str">
            <v>make_name</v>
          </cell>
          <cell r="C1" t="str">
            <v>make_type</v>
          </cell>
        </row>
        <row r="2">
          <cell r="A2">
            <v>501</v>
          </cell>
          <cell r="B2" t="str">
            <v>Aakron Xpress</v>
          </cell>
          <cell r="C2" t="str">
            <v>Standard</v>
          </cell>
        </row>
        <row r="3">
          <cell r="A3">
            <v>502</v>
          </cell>
          <cell r="B3" t="str">
            <v>ADLY</v>
          </cell>
          <cell r="C3" t="str">
            <v>Standard</v>
          </cell>
        </row>
        <row r="4">
          <cell r="A4">
            <v>503</v>
          </cell>
          <cell r="B4" t="str">
            <v>Alpha</v>
          </cell>
          <cell r="C4" t="str">
            <v>Standard</v>
          </cell>
        </row>
        <row r="5">
          <cell r="A5">
            <v>504</v>
          </cell>
          <cell r="B5" t="str">
            <v>Anglo</v>
          </cell>
          <cell r="C5" t="str">
            <v>Standard</v>
          </cell>
        </row>
        <row r="6">
          <cell r="A6">
            <v>505</v>
          </cell>
          <cell r="B6" t="str">
            <v>Aprilia</v>
          </cell>
          <cell r="C6" t="str">
            <v>Standard</v>
          </cell>
        </row>
        <row r="7">
          <cell r="A7">
            <v>506</v>
          </cell>
          <cell r="B7" t="str">
            <v>Atlas</v>
          </cell>
          <cell r="C7" t="str">
            <v>Standard</v>
          </cell>
        </row>
        <row r="8">
          <cell r="A8">
            <v>507</v>
          </cell>
          <cell r="B8" t="str">
            <v>Audi</v>
          </cell>
          <cell r="C8" t="str">
            <v>Standard</v>
          </cell>
        </row>
        <row r="9">
          <cell r="A9">
            <v>508</v>
          </cell>
          <cell r="B9" t="str">
            <v>Bailey</v>
          </cell>
          <cell r="C9" t="str">
            <v>Standard</v>
          </cell>
        </row>
        <row r="10">
          <cell r="A10">
            <v>509</v>
          </cell>
          <cell r="B10" t="str">
            <v>Bedford</v>
          </cell>
          <cell r="C10" t="str">
            <v>Standard</v>
          </cell>
        </row>
        <row r="11">
          <cell r="A11">
            <v>510</v>
          </cell>
          <cell r="B11" t="str">
            <v>Benelli</v>
          </cell>
          <cell r="C11" t="str">
            <v>Standard</v>
          </cell>
        </row>
        <row r="12">
          <cell r="A12">
            <v>511</v>
          </cell>
          <cell r="B12" t="str">
            <v>Bentley</v>
          </cell>
          <cell r="C12" t="str">
            <v>Luxury</v>
          </cell>
        </row>
        <row r="13">
          <cell r="A13">
            <v>512</v>
          </cell>
          <cell r="B13" t="str">
            <v>BMW</v>
          </cell>
          <cell r="C13" t="str">
            <v>Luxury</v>
          </cell>
        </row>
        <row r="14">
          <cell r="A14">
            <v>513</v>
          </cell>
          <cell r="B14" t="str">
            <v>Bricon</v>
          </cell>
          <cell r="C14" t="str">
            <v>Standard</v>
          </cell>
        </row>
        <row r="15">
          <cell r="A15">
            <v>514</v>
          </cell>
          <cell r="B15" t="str">
            <v>Briford</v>
          </cell>
          <cell r="C15" t="str">
            <v>Standard</v>
          </cell>
        </row>
        <row r="16">
          <cell r="A16">
            <v>515</v>
          </cell>
          <cell r="B16" t="str">
            <v>Buell</v>
          </cell>
          <cell r="C16" t="str">
            <v>Standard</v>
          </cell>
        </row>
        <row r="17">
          <cell r="A17">
            <v>516</v>
          </cell>
          <cell r="B17" t="str">
            <v>Buffalo</v>
          </cell>
          <cell r="C17" t="str">
            <v>Standard</v>
          </cell>
        </row>
        <row r="18">
          <cell r="A18">
            <v>517</v>
          </cell>
          <cell r="B18" t="str">
            <v>Cadillac</v>
          </cell>
          <cell r="C18" t="str">
            <v>Luxury</v>
          </cell>
        </row>
        <row r="19">
          <cell r="A19">
            <v>518</v>
          </cell>
          <cell r="B19" t="str">
            <v>Can-Am</v>
          </cell>
          <cell r="C19" t="str">
            <v>Standard</v>
          </cell>
        </row>
        <row r="20">
          <cell r="A20">
            <v>519</v>
          </cell>
          <cell r="B20" t="str">
            <v>Caravan</v>
          </cell>
          <cell r="C20" t="str">
            <v>Standard</v>
          </cell>
        </row>
        <row r="21">
          <cell r="A21">
            <v>520</v>
          </cell>
          <cell r="B21" t="str">
            <v>Caterpillar</v>
          </cell>
          <cell r="C21" t="str">
            <v>Standard</v>
          </cell>
        </row>
        <row r="22">
          <cell r="A22">
            <v>521</v>
          </cell>
          <cell r="B22" t="str">
            <v>Chery</v>
          </cell>
          <cell r="C22" t="str">
            <v>Standard</v>
          </cell>
        </row>
        <row r="23">
          <cell r="A23">
            <v>522</v>
          </cell>
          <cell r="B23" t="str">
            <v>Chevrolet</v>
          </cell>
          <cell r="C23" t="str">
            <v>Standard</v>
          </cell>
        </row>
        <row r="24">
          <cell r="A24">
            <v>523</v>
          </cell>
          <cell r="B24" t="str">
            <v>Chrysler</v>
          </cell>
          <cell r="C24" t="str">
            <v>Standard</v>
          </cell>
        </row>
        <row r="25">
          <cell r="A25">
            <v>524</v>
          </cell>
          <cell r="B25" t="str">
            <v>Citroen</v>
          </cell>
          <cell r="C25" t="str">
            <v>Standard</v>
          </cell>
        </row>
        <row r="26">
          <cell r="A26">
            <v>525</v>
          </cell>
          <cell r="B26" t="str">
            <v>Classic</v>
          </cell>
          <cell r="C26" t="str">
            <v>Standard</v>
          </cell>
        </row>
        <row r="27">
          <cell r="A27">
            <v>526</v>
          </cell>
          <cell r="B27" t="str">
            <v>Crusader</v>
          </cell>
          <cell r="C27" t="str">
            <v>Standard</v>
          </cell>
        </row>
        <row r="28">
          <cell r="A28">
            <v>527</v>
          </cell>
          <cell r="B28" t="str">
            <v>Custombuilt</v>
          </cell>
          <cell r="C28" t="str">
            <v>Standard</v>
          </cell>
        </row>
        <row r="29">
          <cell r="A29">
            <v>528</v>
          </cell>
          <cell r="B29" t="str">
            <v>Dacia</v>
          </cell>
          <cell r="C29" t="str">
            <v>Standard</v>
          </cell>
        </row>
        <row r="30">
          <cell r="A30">
            <v>529</v>
          </cell>
          <cell r="B30" t="str">
            <v>Daewoo</v>
          </cell>
          <cell r="C30" t="str">
            <v>Standard</v>
          </cell>
        </row>
        <row r="31">
          <cell r="A31">
            <v>530</v>
          </cell>
          <cell r="B31" t="str">
            <v>DAF</v>
          </cell>
          <cell r="C31" t="str">
            <v>Standard</v>
          </cell>
        </row>
        <row r="32">
          <cell r="A32">
            <v>531</v>
          </cell>
          <cell r="B32" t="str">
            <v>Daihatsu</v>
          </cell>
          <cell r="C32" t="str">
            <v>Standard</v>
          </cell>
        </row>
        <row r="33">
          <cell r="A33">
            <v>532</v>
          </cell>
          <cell r="B33" t="str">
            <v>Diamond</v>
          </cell>
          <cell r="C33" t="str">
            <v>Standard</v>
          </cell>
        </row>
        <row r="34">
          <cell r="A34">
            <v>533</v>
          </cell>
          <cell r="B34" t="str">
            <v>DMW</v>
          </cell>
          <cell r="C34" t="str">
            <v>Standard</v>
          </cell>
        </row>
        <row r="35">
          <cell r="A35">
            <v>534</v>
          </cell>
          <cell r="B35" t="str">
            <v>Dodge</v>
          </cell>
          <cell r="C35" t="str">
            <v>Standard</v>
          </cell>
        </row>
        <row r="36">
          <cell r="A36">
            <v>535</v>
          </cell>
          <cell r="B36" t="str">
            <v>Domett</v>
          </cell>
          <cell r="C36" t="str">
            <v>Standard</v>
          </cell>
        </row>
        <row r="37">
          <cell r="A37">
            <v>536</v>
          </cell>
          <cell r="B37" t="str">
            <v>Ducati</v>
          </cell>
          <cell r="C37" t="str">
            <v>Standard</v>
          </cell>
        </row>
        <row r="38">
          <cell r="A38">
            <v>537</v>
          </cell>
          <cell r="B38" t="str">
            <v>Elddis</v>
          </cell>
          <cell r="C38" t="str">
            <v>Standard</v>
          </cell>
        </row>
        <row r="39">
          <cell r="A39">
            <v>538</v>
          </cell>
          <cell r="B39" t="str">
            <v>Factory Built</v>
          </cell>
          <cell r="C39" t="str">
            <v>Standard</v>
          </cell>
        </row>
        <row r="40">
          <cell r="A40">
            <v>539</v>
          </cell>
          <cell r="B40" t="str">
            <v>Ferrari</v>
          </cell>
          <cell r="C40" t="str">
            <v>Luxury</v>
          </cell>
        </row>
        <row r="41">
          <cell r="A41">
            <v>540</v>
          </cell>
          <cell r="B41" t="str">
            <v>Ford</v>
          </cell>
          <cell r="C41" t="str">
            <v>Standard</v>
          </cell>
        </row>
        <row r="42">
          <cell r="A42">
            <v>541</v>
          </cell>
          <cell r="B42" t="str">
            <v>Forza</v>
          </cell>
          <cell r="C42" t="str">
            <v>Standard</v>
          </cell>
        </row>
        <row r="43">
          <cell r="A43">
            <v>542</v>
          </cell>
          <cell r="B43" t="str">
            <v>FOTON</v>
          </cell>
          <cell r="C43" t="str">
            <v>Standard</v>
          </cell>
        </row>
        <row r="44">
          <cell r="A44">
            <v>543</v>
          </cell>
          <cell r="B44" t="str">
            <v>Fuso</v>
          </cell>
          <cell r="C44" t="str">
            <v>Standard</v>
          </cell>
        </row>
        <row r="45">
          <cell r="A45">
            <v>544</v>
          </cell>
          <cell r="B45" t="str">
            <v>Great Wall</v>
          </cell>
          <cell r="C45" t="str">
            <v>Standard</v>
          </cell>
        </row>
        <row r="46">
          <cell r="A46">
            <v>545</v>
          </cell>
          <cell r="B46" t="str">
            <v>Harley Davidson</v>
          </cell>
          <cell r="C46" t="str">
            <v>Standard</v>
          </cell>
        </row>
        <row r="47">
          <cell r="A47">
            <v>546</v>
          </cell>
          <cell r="B47" t="str">
            <v>Hino</v>
          </cell>
          <cell r="C47" t="str">
            <v>Standard</v>
          </cell>
        </row>
        <row r="48">
          <cell r="A48">
            <v>547</v>
          </cell>
          <cell r="B48" t="str">
            <v>Hitachi</v>
          </cell>
          <cell r="C48" t="str">
            <v>Standard</v>
          </cell>
        </row>
        <row r="49">
          <cell r="A49">
            <v>548</v>
          </cell>
          <cell r="B49" t="str">
            <v>Holden</v>
          </cell>
          <cell r="C49" t="str">
            <v>Standard</v>
          </cell>
        </row>
        <row r="50">
          <cell r="A50">
            <v>549</v>
          </cell>
          <cell r="B50" t="str">
            <v>Homebuilt</v>
          </cell>
          <cell r="C50" t="str">
            <v>Standard</v>
          </cell>
        </row>
        <row r="51">
          <cell r="A51">
            <v>550</v>
          </cell>
          <cell r="B51" t="str">
            <v>Honda</v>
          </cell>
          <cell r="C51" t="str">
            <v>Standard</v>
          </cell>
        </row>
        <row r="52">
          <cell r="A52">
            <v>551</v>
          </cell>
          <cell r="B52" t="str">
            <v>Hoskings</v>
          </cell>
          <cell r="C52" t="str">
            <v>Standard</v>
          </cell>
        </row>
        <row r="53">
          <cell r="A53">
            <v>552</v>
          </cell>
          <cell r="B53" t="str">
            <v>Husaberg</v>
          </cell>
          <cell r="C53" t="str">
            <v>Standard</v>
          </cell>
        </row>
        <row r="54">
          <cell r="A54">
            <v>553</v>
          </cell>
          <cell r="B54" t="str">
            <v>Husqvarna</v>
          </cell>
          <cell r="C54" t="str">
            <v>Standard</v>
          </cell>
        </row>
        <row r="55">
          <cell r="A55">
            <v>554</v>
          </cell>
          <cell r="B55" t="str">
            <v>Hyosung</v>
          </cell>
          <cell r="C55" t="str">
            <v>Standard</v>
          </cell>
        </row>
        <row r="56">
          <cell r="A56">
            <v>555</v>
          </cell>
          <cell r="B56" t="str">
            <v>Hyundai</v>
          </cell>
          <cell r="C56" t="str">
            <v>Standard</v>
          </cell>
        </row>
        <row r="57">
          <cell r="A57">
            <v>556</v>
          </cell>
          <cell r="B57" t="str">
            <v>Isuzu</v>
          </cell>
          <cell r="C57" t="str">
            <v>Standard</v>
          </cell>
        </row>
        <row r="58">
          <cell r="A58">
            <v>557</v>
          </cell>
          <cell r="B58" t="str">
            <v>Jaguar</v>
          </cell>
          <cell r="C58" t="str">
            <v>Luxury</v>
          </cell>
        </row>
        <row r="59">
          <cell r="A59">
            <v>558</v>
          </cell>
          <cell r="B59" t="str">
            <v>Jayco</v>
          </cell>
          <cell r="C59" t="str">
            <v>Standard</v>
          </cell>
        </row>
        <row r="60">
          <cell r="A60">
            <v>559</v>
          </cell>
          <cell r="B60" t="str">
            <v>Jeep</v>
          </cell>
          <cell r="C60" t="str">
            <v>Standard</v>
          </cell>
        </row>
        <row r="61">
          <cell r="A61">
            <v>560</v>
          </cell>
          <cell r="B61" t="str">
            <v>John Deere</v>
          </cell>
          <cell r="C61" t="str">
            <v>Standard</v>
          </cell>
        </row>
        <row r="62">
          <cell r="A62">
            <v>561</v>
          </cell>
          <cell r="B62" t="str">
            <v>Kawasaki</v>
          </cell>
          <cell r="C62" t="str">
            <v>Standard</v>
          </cell>
        </row>
        <row r="63">
          <cell r="A63">
            <v>562</v>
          </cell>
          <cell r="B63" t="str">
            <v>Kea</v>
          </cell>
          <cell r="C63" t="str">
            <v>Standard</v>
          </cell>
        </row>
        <row r="64">
          <cell r="A64">
            <v>563</v>
          </cell>
          <cell r="B64" t="str">
            <v>Keeway</v>
          </cell>
          <cell r="C64" t="str">
            <v>Standard</v>
          </cell>
        </row>
        <row r="65">
          <cell r="A65">
            <v>564</v>
          </cell>
          <cell r="B65" t="str">
            <v>Kia</v>
          </cell>
          <cell r="C65" t="str">
            <v>Standard</v>
          </cell>
        </row>
        <row r="66">
          <cell r="A66">
            <v>565</v>
          </cell>
          <cell r="B66" t="str">
            <v>KTM</v>
          </cell>
          <cell r="C66" t="str">
            <v>Standard</v>
          </cell>
        </row>
        <row r="67">
          <cell r="A67">
            <v>566</v>
          </cell>
          <cell r="B67" t="str">
            <v>Kymco</v>
          </cell>
          <cell r="C67" t="str">
            <v>Standard</v>
          </cell>
        </row>
        <row r="68">
          <cell r="A68">
            <v>567</v>
          </cell>
          <cell r="B68" t="str">
            <v>Lambretta</v>
          </cell>
          <cell r="C68" t="str">
            <v>Standard</v>
          </cell>
        </row>
        <row r="69">
          <cell r="A69">
            <v>568</v>
          </cell>
          <cell r="B69" t="str">
            <v>Land Rover</v>
          </cell>
          <cell r="C69" t="str">
            <v>Luxury</v>
          </cell>
        </row>
        <row r="70">
          <cell r="A70">
            <v>569</v>
          </cell>
          <cell r="B70" t="str">
            <v>Landrover</v>
          </cell>
          <cell r="C70" t="str">
            <v>Luxury</v>
          </cell>
        </row>
        <row r="71">
          <cell r="A71">
            <v>570</v>
          </cell>
          <cell r="B71" t="str">
            <v>Lexus</v>
          </cell>
          <cell r="C71" t="str">
            <v>Luxury</v>
          </cell>
        </row>
        <row r="72">
          <cell r="A72">
            <v>571</v>
          </cell>
          <cell r="B72" t="str">
            <v>Liteweight</v>
          </cell>
          <cell r="C72" t="str">
            <v>Standard</v>
          </cell>
        </row>
        <row r="73">
          <cell r="A73">
            <v>572</v>
          </cell>
          <cell r="B73" t="str">
            <v>Lochiel</v>
          </cell>
          <cell r="C73" t="str">
            <v>Standard</v>
          </cell>
        </row>
        <row r="74">
          <cell r="A74">
            <v>573</v>
          </cell>
          <cell r="B74" t="str">
            <v>Mahindra</v>
          </cell>
          <cell r="C74" t="str">
            <v>Standard</v>
          </cell>
        </row>
        <row r="75">
          <cell r="A75">
            <v>574</v>
          </cell>
          <cell r="B75" t="str">
            <v>Maserati</v>
          </cell>
          <cell r="C75" t="str">
            <v>Luxury</v>
          </cell>
        </row>
        <row r="76">
          <cell r="A76">
            <v>575</v>
          </cell>
          <cell r="B76" t="str">
            <v>Massey</v>
          </cell>
          <cell r="C76" t="str">
            <v>Standard</v>
          </cell>
        </row>
        <row r="77">
          <cell r="A77">
            <v>576</v>
          </cell>
          <cell r="B77" t="str">
            <v>Mazda</v>
          </cell>
          <cell r="C77" t="str">
            <v>Standard</v>
          </cell>
        </row>
        <row r="78">
          <cell r="A78">
            <v>577</v>
          </cell>
          <cell r="B78" t="str">
            <v>Mercedes-Benz</v>
          </cell>
          <cell r="C78" t="str">
            <v>Luxury</v>
          </cell>
        </row>
        <row r="79">
          <cell r="A79">
            <v>578</v>
          </cell>
          <cell r="B79" t="str">
            <v>MG</v>
          </cell>
          <cell r="C79" t="str">
            <v>Standard</v>
          </cell>
        </row>
        <row r="80">
          <cell r="A80">
            <v>579</v>
          </cell>
          <cell r="B80" t="str">
            <v>Mini</v>
          </cell>
          <cell r="C80" t="str">
            <v>Luxury</v>
          </cell>
        </row>
        <row r="81">
          <cell r="A81">
            <v>580</v>
          </cell>
          <cell r="B81" t="str">
            <v>Mitsubishi</v>
          </cell>
          <cell r="C81" t="str">
            <v>Standard</v>
          </cell>
        </row>
        <row r="82">
          <cell r="A82">
            <v>581</v>
          </cell>
          <cell r="B82" t="str">
            <v>Mitsubishio Fuso</v>
          </cell>
          <cell r="C82" t="str">
            <v>Standard</v>
          </cell>
        </row>
        <row r="83">
          <cell r="A83">
            <v>582</v>
          </cell>
          <cell r="B83" t="str">
            <v>Mobile Machine</v>
          </cell>
          <cell r="C83" t="str">
            <v>Standard</v>
          </cell>
        </row>
        <row r="84">
          <cell r="A84">
            <v>583</v>
          </cell>
          <cell r="B84" t="str">
            <v>Moden</v>
          </cell>
          <cell r="C84" t="str">
            <v>Standard</v>
          </cell>
        </row>
        <row r="85">
          <cell r="A85">
            <v>584</v>
          </cell>
          <cell r="B85" t="str">
            <v>Mono - Way</v>
          </cell>
          <cell r="C85" t="str">
            <v>Standard</v>
          </cell>
        </row>
        <row r="86">
          <cell r="A86">
            <v>585</v>
          </cell>
          <cell r="B86" t="str">
            <v>Moped</v>
          </cell>
          <cell r="C86" t="str">
            <v>Standard</v>
          </cell>
        </row>
        <row r="87">
          <cell r="A87">
            <v>586</v>
          </cell>
          <cell r="B87" t="str">
            <v>Morris</v>
          </cell>
          <cell r="C87" t="str">
            <v>Standard</v>
          </cell>
        </row>
        <row r="88">
          <cell r="A88">
            <v>587</v>
          </cell>
          <cell r="B88" t="str">
            <v>Nissan</v>
          </cell>
          <cell r="C88" t="str">
            <v>Standard</v>
          </cell>
        </row>
        <row r="89">
          <cell r="A89">
            <v>588</v>
          </cell>
          <cell r="B89" t="str">
            <v>Nissan Diesel</v>
          </cell>
          <cell r="C89" t="str">
            <v>Standard</v>
          </cell>
        </row>
        <row r="90">
          <cell r="A90">
            <v>589</v>
          </cell>
          <cell r="B90" t="str">
            <v>Niu</v>
          </cell>
          <cell r="C90" t="str">
            <v>Standard</v>
          </cell>
        </row>
        <row r="91">
          <cell r="A91">
            <v>590</v>
          </cell>
          <cell r="B91" t="str">
            <v>Over</v>
          </cell>
          <cell r="C91" t="str">
            <v>Standard</v>
          </cell>
        </row>
        <row r="92">
          <cell r="A92">
            <v>591</v>
          </cell>
          <cell r="B92" t="str">
            <v>Oxford</v>
          </cell>
          <cell r="C92" t="str">
            <v>Standard</v>
          </cell>
        </row>
        <row r="93">
          <cell r="A93">
            <v>592</v>
          </cell>
          <cell r="B93" t="str">
            <v>Peugeot</v>
          </cell>
          <cell r="C93" t="str">
            <v>Standard</v>
          </cell>
        </row>
        <row r="94">
          <cell r="A94">
            <v>593</v>
          </cell>
          <cell r="B94" t="str">
            <v>PGO</v>
          </cell>
          <cell r="C94" t="str">
            <v>Standard</v>
          </cell>
        </row>
        <row r="95">
          <cell r="A95">
            <v>594</v>
          </cell>
          <cell r="B95" t="str">
            <v>Piaggio</v>
          </cell>
          <cell r="C95" t="str">
            <v>Standard</v>
          </cell>
        </row>
        <row r="96">
          <cell r="A96">
            <v>595</v>
          </cell>
          <cell r="B96" t="str">
            <v>Pinto</v>
          </cell>
          <cell r="C96" t="str">
            <v>Standard</v>
          </cell>
        </row>
        <row r="97">
          <cell r="A97">
            <v>596</v>
          </cell>
          <cell r="B97" t="str">
            <v>Porsche</v>
          </cell>
          <cell r="C97" t="str">
            <v>Luxury</v>
          </cell>
        </row>
        <row r="98">
          <cell r="A98">
            <v>597</v>
          </cell>
          <cell r="B98" t="str">
            <v>Reid</v>
          </cell>
          <cell r="C98" t="str">
            <v>Standard</v>
          </cell>
        </row>
        <row r="99">
          <cell r="A99">
            <v>598</v>
          </cell>
          <cell r="B99" t="str">
            <v>Renault</v>
          </cell>
          <cell r="C99" t="str">
            <v>Standard</v>
          </cell>
        </row>
        <row r="100">
          <cell r="A100">
            <v>599</v>
          </cell>
          <cell r="B100" t="str">
            <v>Rhino</v>
          </cell>
          <cell r="C100" t="str">
            <v>Standard</v>
          </cell>
        </row>
        <row r="101">
          <cell r="A101">
            <v>600</v>
          </cell>
          <cell r="B101" t="str">
            <v>Rover</v>
          </cell>
          <cell r="C101" t="str">
            <v>Luxury</v>
          </cell>
        </row>
        <row r="102">
          <cell r="A102">
            <v>601</v>
          </cell>
          <cell r="B102" t="str">
            <v>Royal Enfield</v>
          </cell>
          <cell r="C102" t="str">
            <v>Standard</v>
          </cell>
        </row>
        <row r="103">
          <cell r="A103">
            <v>602</v>
          </cell>
          <cell r="B103" t="str">
            <v>Saab</v>
          </cell>
          <cell r="C103" t="str">
            <v>Standard</v>
          </cell>
        </row>
        <row r="104">
          <cell r="A104">
            <v>603</v>
          </cell>
          <cell r="B104" t="str">
            <v>Scomadi</v>
          </cell>
          <cell r="C104" t="str">
            <v>Standard</v>
          </cell>
        </row>
        <row r="105">
          <cell r="A105">
            <v>604</v>
          </cell>
          <cell r="B105" t="str">
            <v>Seat</v>
          </cell>
          <cell r="C105" t="str">
            <v>Standard</v>
          </cell>
        </row>
        <row r="106">
          <cell r="A106">
            <v>605</v>
          </cell>
          <cell r="B106" t="str">
            <v>Skoda</v>
          </cell>
          <cell r="C106" t="str">
            <v>Standard</v>
          </cell>
        </row>
        <row r="107">
          <cell r="A107">
            <v>606</v>
          </cell>
          <cell r="B107" t="str">
            <v>Sprite</v>
          </cell>
          <cell r="C107" t="str">
            <v>Standard</v>
          </cell>
        </row>
        <row r="108">
          <cell r="A108">
            <v>607</v>
          </cell>
          <cell r="B108" t="str">
            <v>Ssangyong</v>
          </cell>
          <cell r="C108" t="str">
            <v>Standard</v>
          </cell>
        </row>
        <row r="109">
          <cell r="A109">
            <v>608</v>
          </cell>
          <cell r="B109" t="str">
            <v>Steelbro</v>
          </cell>
          <cell r="C109" t="str">
            <v>Standard</v>
          </cell>
        </row>
        <row r="110">
          <cell r="A110">
            <v>609</v>
          </cell>
          <cell r="B110" t="str">
            <v>Sterling</v>
          </cell>
          <cell r="C110" t="str">
            <v>Standard</v>
          </cell>
        </row>
        <row r="111">
          <cell r="A111">
            <v>610</v>
          </cell>
          <cell r="B111" t="str">
            <v>Subaru</v>
          </cell>
          <cell r="C111" t="str">
            <v>Standard</v>
          </cell>
        </row>
        <row r="112">
          <cell r="A112">
            <v>611</v>
          </cell>
          <cell r="B112" t="str">
            <v>Suzuki</v>
          </cell>
          <cell r="C112" t="str">
            <v>Standard</v>
          </cell>
        </row>
        <row r="113">
          <cell r="A113">
            <v>612</v>
          </cell>
          <cell r="B113" t="str">
            <v>Swift</v>
          </cell>
          <cell r="C113" t="str">
            <v>Standard</v>
          </cell>
        </row>
        <row r="114">
          <cell r="A114">
            <v>613</v>
          </cell>
          <cell r="B114" t="str">
            <v>SYM</v>
          </cell>
          <cell r="C114" t="str">
            <v>Standard</v>
          </cell>
        </row>
        <row r="115">
          <cell r="A115">
            <v>614</v>
          </cell>
          <cell r="B115" t="str">
            <v>Takeuchi</v>
          </cell>
          <cell r="C115" t="str">
            <v>Standard</v>
          </cell>
        </row>
        <row r="116">
          <cell r="A116">
            <v>615</v>
          </cell>
          <cell r="B116" t="str">
            <v>TGB</v>
          </cell>
          <cell r="C116" t="str">
            <v>Standard</v>
          </cell>
        </row>
        <row r="117">
          <cell r="A117">
            <v>616</v>
          </cell>
          <cell r="B117" t="str">
            <v>Titan</v>
          </cell>
          <cell r="C117" t="str">
            <v>Standard</v>
          </cell>
        </row>
        <row r="118">
          <cell r="A118">
            <v>617</v>
          </cell>
          <cell r="B118" t="str">
            <v>TNT Motor</v>
          </cell>
          <cell r="C118" t="str">
            <v>Standard</v>
          </cell>
        </row>
        <row r="119">
          <cell r="A119">
            <v>618</v>
          </cell>
          <cell r="B119" t="str">
            <v>Toko</v>
          </cell>
          <cell r="C119" t="str">
            <v>Standard</v>
          </cell>
        </row>
        <row r="120">
          <cell r="A120">
            <v>619</v>
          </cell>
          <cell r="B120" t="str">
            <v>Toyota</v>
          </cell>
          <cell r="C120" t="str">
            <v>Standard</v>
          </cell>
        </row>
        <row r="121">
          <cell r="A121">
            <v>620</v>
          </cell>
          <cell r="B121" t="str">
            <v>Toyota Lexus</v>
          </cell>
          <cell r="C121" t="str">
            <v>Luxury</v>
          </cell>
        </row>
        <row r="122">
          <cell r="A122">
            <v>621</v>
          </cell>
          <cell r="B122" t="str">
            <v>Tractor</v>
          </cell>
          <cell r="C122" t="str">
            <v>Standard</v>
          </cell>
        </row>
        <row r="123">
          <cell r="A123">
            <v>622</v>
          </cell>
          <cell r="B123" t="str">
            <v>Trail-Lite</v>
          </cell>
          <cell r="C123" t="str">
            <v>Standard</v>
          </cell>
        </row>
        <row r="124">
          <cell r="A124">
            <v>623</v>
          </cell>
          <cell r="B124" t="str">
            <v>Trailer</v>
          </cell>
          <cell r="C124" t="str">
            <v>Standard</v>
          </cell>
        </row>
        <row r="125">
          <cell r="A125">
            <v>624</v>
          </cell>
          <cell r="B125" t="str">
            <v>Trike</v>
          </cell>
          <cell r="C125" t="str">
            <v>Standard</v>
          </cell>
        </row>
        <row r="126">
          <cell r="A126">
            <v>625</v>
          </cell>
          <cell r="B126" t="str">
            <v>Triumph</v>
          </cell>
          <cell r="C126" t="str">
            <v>Standard</v>
          </cell>
        </row>
        <row r="127">
          <cell r="A127">
            <v>626</v>
          </cell>
          <cell r="B127" t="str">
            <v>Trojan</v>
          </cell>
          <cell r="C127" t="str">
            <v>Standard</v>
          </cell>
        </row>
        <row r="128">
          <cell r="A128">
            <v>627</v>
          </cell>
          <cell r="B128" t="str">
            <v>Ubco</v>
          </cell>
          <cell r="C128" t="str">
            <v>Standard</v>
          </cell>
        </row>
        <row r="129">
          <cell r="A129">
            <v>628</v>
          </cell>
          <cell r="B129" t="str">
            <v>Universal</v>
          </cell>
          <cell r="C129" t="str">
            <v>Standard</v>
          </cell>
        </row>
        <row r="130">
          <cell r="A130">
            <v>629</v>
          </cell>
          <cell r="B130" t="str">
            <v>Vespa</v>
          </cell>
          <cell r="C130" t="str">
            <v>Standard</v>
          </cell>
        </row>
        <row r="131">
          <cell r="A131">
            <v>630</v>
          </cell>
          <cell r="B131" t="str">
            <v>Veteran</v>
          </cell>
          <cell r="C131" t="str">
            <v>Standard</v>
          </cell>
        </row>
        <row r="132">
          <cell r="A132">
            <v>631</v>
          </cell>
          <cell r="B132" t="str">
            <v>Victory</v>
          </cell>
          <cell r="C132" t="str">
            <v>Standard</v>
          </cell>
        </row>
        <row r="133">
          <cell r="A133">
            <v>632</v>
          </cell>
          <cell r="B133" t="str">
            <v>Vmoto</v>
          </cell>
          <cell r="C133" t="str">
            <v>Standard</v>
          </cell>
        </row>
        <row r="134">
          <cell r="A134">
            <v>633</v>
          </cell>
          <cell r="B134" t="str">
            <v>Volkswagen</v>
          </cell>
          <cell r="C134" t="str">
            <v>Standard</v>
          </cell>
        </row>
        <row r="135">
          <cell r="A135">
            <v>634</v>
          </cell>
          <cell r="B135" t="str">
            <v>Volvo</v>
          </cell>
          <cell r="C135" t="str">
            <v>Luxury</v>
          </cell>
        </row>
        <row r="136">
          <cell r="A136">
            <v>635</v>
          </cell>
          <cell r="B136" t="str">
            <v>Voyager</v>
          </cell>
          <cell r="C136" t="str">
            <v>Standard</v>
          </cell>
        </row>
        <row r="137">
          <cell r="A137">
            <v>636</v>
          </cell>
          <cell r="B137" t="str">
            <v>Yamaha</v>
          </cell>
          <cell r="C137" t="str">
            <v>Standard</v>
          </cell>
        </row>
        <row r="138">
          <cell r="A138">
            <v>637</v>
          </cell>
          <cell r="B138" t="str">
            <v>Zephyr</v>
          </cell>
          <cell r="C138" t="str">
            <v>Standard</v>
          </cell>
        </row>
        <row r="139">
          <cell r="A139">
            <v>638</v>
          </cell>
          <cell r="B139" t="str">
            <v>Znen</v>
          </cell>
          <cell r="C139" t="str">
            <v>Standard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come" refreshedDate="46009.682835532411" createdVersion="8" refreshedVersion="8" minRefreshableVersion="3" recordCount="500" xr:uid="{AC401FD8-5ECF-47C4-8390-D327F06A29B4}">
  <cacheSource type="worksheet">
    <worksheetSource ref="A1:P501" sheet="Updated"/>
  </cacheSource>
  <cacheFields count="16">
    <cacheField name="vehicle_id" numFmtId="0">
      <sharedItems containsSemiMixedTypes="0" containsString="0" containsNumber="1" containsInteger="1" minValue="1" maxValue="500"/>
    </cacheField>
    <cacheField name="vehicle_type" numFmtId="0">
      <sharedItems/>
    </cacheField>
    <cacheField name="make_id" numFmtId="0">
      <sharedItems containsSemiMixedTypes="0" containsString="0" containsNumber="1" containsInteger="1" minValue="504" maxValue="636"/>
    </cacheField>
    <cacheField name="model_year" numFmtId="0">
      <sharedItems containsSemiMixedTypes="0" containsString="0" containsNumber="1" containsInteger="1" minValue="1940" maxValue="2022"/>
    </cacheField>
    <cacheField name="vehicle_desc" numFmtId="0">
      <sharedItems containsMixedTypes="1" containsNumber="1" containsInteger="1" minValue="4" maxValue="710"/>
    </cacheField>
    <cacheField name="color" numFmtId="0">
      <sharedItems/>
    </cacheField>
    <cacheField name="date_stolen" numFmtId="14">
      <sharedItems containsSemiMixedTypes="0" containsNonDate="0" containsDate="1" containsString="0" minDate="2021-01-11T00:00:00" maxDate="2022-12-04T00:00:00"/>
    </cacheField>
    <cacheField name="location_id" numFmtId="0">
      <sharedItems containsSemiMixedTypes="0" containsString="0" containsNumber="1" containsInteger="1" minValue="101" maxValue="116" count="13">
        <n v="102"/>
        <n v="105"/>
        <n v="106"/>
        <n v="114"/>
        <n v="109"/>
        <n v="115"/>
        <n v="108"/>
        <n v="101"/>
        <n v="104"/>
        <n v="103"/>
        <n v="111"/>
        <n v="107"/>
        <n v="116"/>
      </sharedItems>
    </cacheField>
    <cacheField name="region{Locations}" numFmtId="0">
      <sharedItems/>
    </cacheField>
    <cacheField name="country{Locations}" numFmtId="0">
      <sharedItems/>
    </cacheField>
    <cacheField name="make_name{makeDetails}" numFmtId="0">
      <sharedItems/>
    </cacheField>
    <cacheField name="make_type{makeDetails}" numFmtId="0">
      <sharedItems/>
    </cacheField>
    <cacheField name="B:B{Vlookup}" numFmtId="0">
      <sharedItems containsBlank="1"/>
    </cacheField>
    <cacheField name="F:F{Xlookup}" numFmtId="0">
      <sharedItems containsBlank="1"/>
    </cacheField>
    <cacheField name="E:E{indexMatch}" numFmtId="0">
      <sharedItems containsBlank="1"/>
    </cacheField>
    <cacheField name="countofdatestolen" numFmtId="0">
      <sharedItems containsSemiMixedTypes="0" containsString="0" containsNumber="1" containsInteger="1" minValue="1" maxValue="7" count="7">
        <n v="5"/>
        <n v="1"/>
        <n v="2"/>
        <n v="3"/>
        <n v="6"/>
        <n v="4"/>
        <n v="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come" refreshedDate="46009.813391782409" createdVersion="8" refreshedVersion="8" minRefreshableVersion="3" recordCount="500" xr:uid="{FE441C7F-2E85-46C0-94B9-2595EAC92DD0}">
  <cacheSource type="worksheet">
    <worksheetSource ref="A1:T501" sheet="Updated"/>
  </cacheSource>
  <cacheFields count="20">
    <cacheField name="vehicle_id" numFmtId="0">
      <sharedItems containsSemiMixedTypes="0" containsString="0" containsNumber="1" containsInteger="1" minValue="1" maxValue="500"/>
    </cacheField>
    <cacheField name="vehicle_type" numFmtId="0">
      <sharedItems/>
    </cacheField>
    <cacheField name="make_id" numFmtId="0">
      <sharedItems containsSemiMixedTypes="0" containsString="0" containsNumber="1" containsInteger="1" minValue="504" maxValue="636" count="52">
        <n v="623"/>
        <n v="636"/>
        <n v="514"/>
        <n v="538"/>
        <n v="629"/>
        <n v="550"/>
        <n v="611"/>
        <n v="625"/>
        <n v="549"/>
        <n v="527"/>
        <n v="537"/>
        <n v="561"/>
        <n v="540"/>
        <n v="551"/>
        <n v="591"/>
        <n v="512"/>
        <n v="507"/>
        <n v="616"/>
        <n v="545"/>
        <n v="519"/>
        <n v="575"/>
        <n v="626"/>
        <n v="585"/>
        <n v="565"/>
        <n v="595"/>
        <n v="606"/>
        <n v="587"/>
        <n v="525"/>
        <n v="562"/>
        <n v="599"/>
        <n v="513"/>
        <n v="504"/>
        <n v="597"/>
        <n v="572"/>
        <n v="594"/>
        <n v="516"/>
        <n v="630"/>
        <n v="576"/>
        <n v="635"/>
        <n v="505"/>
        <n v="535"/>
        <n v="508"/>
        <n v="554"/>
        <n v="526"/>
        <n v="619"/>
        <n v="612"/>
        <n v="506"/>
        <n v="609"/>
        <n v="631"/>
        <n v="624"/>
        <n v="558"/>
        <n v="584"/>
      </sharedItems>
    </cacheField>
    <cacheField name="model_year" numFmtId="0">
      <sharedItems containsSemiMixedTypes="0" containsString="0" containsNumber="1" containsInteger="1" minValue="1940" maxValue="2022" count="54">
        <n v="2021"/>
        <n v="2018"/>
        <n v="2005"/>
        <n v="2001"/>
        <n v="2020"/>
        <n v="2004"/>
        <n v="2007"/>
        <n v="2014"/>
        <n v="2002"/>
        <n v="2000"/>
        <n v="2015"/>
        <n v="2017"/>
        <n v="1998"/>
        <n v="2003"/>
        <n v="1995"/>
        <n v="1999"/>
        <n v="1997"/>
        <n v="1983"/>
        <n v="2008"/>
        <n v="2006"/>
        <n v="1969"/>
        <n v="2011"/>
        <n v="1984"/>
        <n v="1990"/>
        <n v="1996"/>
        <n v="1985"/>
        <n v="2022"/>
        <n v="1977"/>
        <n v="1980"/>
        <n v="2019"/>
        <n v="1967"/>
        <n v="1989"/>
        <n v="1994"/>
        <n v="1962"/>
        <n v="1972"/>
        <n v="2016"/>
        <n v="2012"/>
        <n v="1963"/>
        <n v="1981"/>
        <n v="1979"/>
        <n v="1976"/>
        <n v="1987"/>
        <n v="2009"/>
        <n v="1940"/>
        <n v="1960"/>
        <n v="2013"/>
        <n v="1993"/>
        <n v="2010"/>
        <n v="1986"/>
        <n v="1970"/>
        <n v="1974"/>
        <n v="1975"/>
        <n v="1992"/>
        <n v="1982"/>
      </sharedItems>
    </cacheField>
    <cacheField name="vehicle_desc" numFmtId="0">
      <sharedItems containsMixedTypes="1" containsNumber="1" containsInteger="1" minValue="4" maxValue="710"/>
    </cacheField>
    <cacheField name="color" numFmtId="0">
      <sharedItems count="12">
        <s v="Silver"/>
        <s v="Black"/>
        <s v="Blue"/>
        <s v="White"/>
        <s v="Grey"/>
        <s v="Green"/>
        <s v="Yellow"/>
        <s v="Red"/>
        <s v="Brown"/>
        <s v="Orange"/>
        <s v="Cream"/>
        <s v="Gold"/>
      </sharedItems>
    </cacheField>
    <cacheField name="date_stolen" numFmtId="14">
      <sharedItems containsSemiMixedTypes="0" containsNonDate="0" containsDate="1" containsString="0" minDate="2021-01-11T00:00:00" maxDate="2022-12-04T00:00:00"/>
    </cacheField>
    <cacheField name="location_id" numFmtId="0">
      <sharedItems containsSemiMixedTypes="0" containsString="0" containsNumber="1" containsInteger="1" minValue="101" maxValue="116"/>
    </cacheField>
    <cacheField name="region{Locations}" numFmtId="0">
      <sharedItems/>
    </cacheField>
    <cacheField name="country{Locations}" numFmtId="0">
      <sharedItems/>
    </cacheField>
    <cacheField name="make_name{makeDetails}" numFmtId="0">
      <sharedItems/>
    </cacheField>
    <cacheField name="make_type{makeDetails}" numFmtId="0">
      <sharedItems/>
    </cacheField>
    <cacheField name="B:B{Vlookup}" numFmtId="0">
      <sharedItems containsBlank="1"/>
    </cacheField>
    <cacheField name="F:F{Xlookup}" numFmtId="0">
      <sharedItems containsBlank="1"/>
    </cacheField>
    <cacheField name="E:E{indexMatch}" numFmtId="0">
      <sharedItems containsBlank="1"/>
    </cacheField>
    <cacheField name="countOfDateStolen" numFmtId="0">
      <sharedItems containsSemiMixedTypes="0" containsString="0" containsNumber="1" containsInteger="1" minValue="1" maxValue="7"/>
    </cacheField>
    <cacheField name="countOfDateStolen/locationID{Xlookup}" numFmtId="0">
      <sharedItems containsString="0" containsBlank="1" containsNumber="1" containsInteger="1" minValue="114" maxValue="114"/>
    </cacheField>
    <cacheField name="ProductID{indexMatch}" numFmtId="0">
      <sharedItems containsString="0" containsBlank="1" containsNumber="1" containsInteger="1" minValue="114" maxValue="114"/>
    </cacheField>
    <cacheField name="makeID{indexMatch}" numFmtId="0">
      <sharedItems containsString="0" containsBlank="1" containsNumber="1" containsInteger="1" minValue="623" maxValue="623"/>
    </cacheField>
    <cacheField name="color{indexMatch}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s v="Trailer"/>
    <n v="623"/>
    <n v="2021"/>
    <s v="BST2021D"/>
    <s v="Silver"/>
    <d v="2021-01-11T00:00:00"/>
    <x v="0"/>
    <s v="Auckland"/>
    <s v="New Zealand"/>
    <s v="Trailer"/>
    <s v="Standard"/>
    <s v="Trailer"/>
    <s v="Silver"/>
    <s v="HANSA CHIPPER"/>
    <x v="0"/>
  </r>
  <r>
    <n v="2"/>
    <s v="Boat Trailer"/>
    <n v="623"/>
    <n v="2021"/>
    <s v="OUTBACK BOATS FT470"/>
    <s v="Silver"/>
    <d v="2021-01-11T00:00:00"/>
    <x v="1"/>
    <s v="Gisborne"/>
    <s v="New Zealand"/>
    <s v="Trailer"/>
    <s v="Standard"/>
    <m/>
    <m/>
    <m/>
    <x v="0"/>
  </r>
  <r>
    <n v="3"/>
    <s v="Boat Trailer"/>
    <n v="623"/>
    <n v="2021"/>
    <s v="ASD JETSKI"/>
    <s v="Silver"/>
    <d v="2021-01-11T00:00:00"/>
    <x v="0"/>
    <s v="Auckland"/>
    <s v="New Zealand"/>
    <s v="Trailer"/>
    <s v="Standard"/>
    <m/>
    <m/>
    <m/>
    <x v="0"/>
  </r>
  <r>
    <n v="4"/>
    <s v="Trailer"/>
    <n v="623"/>
    <n v="2021"/>
    <s v="MSC 7X4"/>
    <s v="Silver"/>
    <d v="2021-01-11T00:00:00"/>
    <x v="2"/>
    <s v="Hawke's Bay"/>
    <s v="New Zealand"/>
    <s v="Trailer"/>
    <s v="Standard"/>
    <m/>
    <m/>
    <m/>
    <x v="0"/>
  </r>
  <r>
    <n v="5"/>
    <s v="Trailer"/>
    <n v="623"/>
    <n v="2018"/>
    <s v="D-MAX 8X5"/>
    <s v="Silver"/>
    <d v="2021-01-11T00:00:00"/>
    <x v="0"/>
    <s v="Auckland"/>
    <s v="New Zealand"/>
    <s v="Trailer"/>
    <s v="Standard"/>
    <m/>
    <m/>
    <m/>
    <x v="0"/>
  </r>
  <r>
    <n v="6"/>
    <s v="Roadbike"/>
    <n v="636"/>
    <n v="2005"/>
    <s v="YZF-R6T"/>
    <s v="Black"/>
    <d v="2021-01-11T00:00:00"/>
    <x v="0"/>
    <s v="Auckland"/>
    <s v="New Zealand"/>
    <s v="Yamaha"/>
    <s v="Standard"/>
    <m/>
    <m/>
    <m/>
    <x v="1"/>
  </r>
  <r>
    <n v="7"/>
    <s v="Trailer"/>
    <n v="623"/>
    <n v="2021"/>
    <s v="CAAR TRANSPORTER"/>
    <s v="Silver"/>
    <d v="2021-01-12T00:00:00"/>
    <x v="3"/>
    <s v="Canterbury"/>
    <s v="New Zealand"/>
    <s v="Trailer"/>
    <s v="Standard"/>
    <m/>
    <m/>
    <m/>
    <x v="2"/>
  </r>
  <r>
    <n v="8"/>
    <s v="Boat Trailer"/>
    <n v="623"/>
    <n v="2001"/>
    <s v="BOAT"/>
    <s v="Silver"/>
    <d v="2021-01-12T00:00:00"/>
    <x v="4"/>
    <s v="Wellington"/>
    <s v="New Zealand"/>
    <s v="Trailer"/>
    <s v="Standard"/>
    <m/>
    <m/>
    <m/>
    <x v="2"/>
  </r>
  <r>
    <n v="9"/>
    <s v="Trailer"/>
    <n v="514"/>
    <n v="2021"/>
    <s v="7X4-6&quot; 1000KG"/>
    <s v="Silver"/>
    <d v="2021-02-11T00:00:00"/>
    <x v="5"/>
    <s v="Otago"/>
    <s v="New Zealand"/>
    <s v="Briford"/>
    <s v="Standard"/>
    <m/>
    <m/>
    <m/>
    <x v="1"/>
  </r>
  <r>
    <n v="10"/>
    <s v="Trailer"/>
    <n v="514"/>
    <n v="2020"/>
    <s v="8X4 TANDEM"/>
    <s v="Silver"/>
    <d v="2021-02-12T00:00:00"/>
    <x v="3"/>
    <s v="Canterbury"/>
    <s v="New Zealand"/>
    <s v="Briford"/>
    <s v="Standard"/>
    <m/>
    <m/>
    <m/>
    <x v="1"/>
  </r>
  <r>
    <n v="11"/>
    <s v="Trailer"/>
    <n v="623"/>
    <n v="2018"/>
    <s v="HOMEBUILT"/>
    <s v="Silver"/>
    <d v="2021-02-12T00:00:00"/>
    <x v="6"/>
    <s v="Manawatū-Whanganui"/>
    <s v="New Zealand"/>
    <s v="Trailer"/>
    <s v="Standard"/>
    <m/>
    <m/>
    <m/>
    <x v="1"/>
  </r>
  <r>
    <n v="12"/>
    <s v="Trailer"/>
    <n v="538"/>
    <n v="2018"/>
    <s v="BRENT SMITH TRAILERS"/>
    <s v="Silver"/>
    <d v="2021-03-11T00:00:00"/>
    <x v="0"/>
    <s v="Auckland"/>
    <s v="New Zealand"/>
    <s v="Factory Built"/>
    <s v="Standard"/>
    <m/>
    <m/>
    <m/>
    <x v="1"/>
  </r>
  <r>
    <n v="13"/>
    <s v="Moped"/>
    <n v="629"/>
    <n v="2004"/>
    <s v="ET2"/>
    <s v="Black"/>
    <d v="2021-03-12T00:00:00"/>
    <x v="0"/>
    <s v="Auckland"/>
    <s v="New Zealand"/>
    <s v="Vespa"/>
    <s v="Standard"/>
    <m/>
    <m/>
    <m/>
    <x v="1"/>
  </r>
  <r>
    <n v="14"/>
    <s v="Moped"/>
    <n v="550"/>
    <n v="2007"/>
    <s v="TODAY"/>
    <s v="Blue"/>
    <d v="2021-03-12T00:00:00"/>
    <x v="0"/>
    <s v="Auckland"/>
    <s v="New Zealand"/>
    <s v="Honda"/>
    <s v="Standard"/>
    <m/>
    <m/>
    <m/>
    <x v="1"/>
  </r>
  <r>
    <n v="15"/>
    <s v="Roadbike"/>
    <n v="611"/>
    <n v="2007"/>
    <s v="DL650"/>
    <s v="Black"/>
    <d v="2021-03-12T00:00:00"/>
    <x v="7"/>
    <s v="Northland"/>
    <s v="New Zealand"/>
    <s v="Suzuki"/>
    <s v="Standard"/>
    <m/>
    <m/>
    <m/>
    <x v="1"/>
  </r>
  <r>
    <n v="16"/>
    <s v="Trailer"/>
    <n v="623"/>
    <n v="2021"/>
    <s v="JOBMATE"/>
    <s v="Silver"/>
    <d v="2021-03-12T00:00:00"/>
    <x v="4"/>
    <s v="Wellington"/>
    <s v="New Zealand"/>
    <s v="Trailer"/>
    <s v="Standard"/>
    <m/>
    <m/>
    <m/>
    <x v="1"/>
  </r>
  <r>
    <n v="17"/>
    <s v="Trailer"/>
    <n v="623"/>
    <n v="2021"/>
    <s v="BSTB85B"/>
    <s v="Silver"/>
    <d v="2021-04-11T00:00:00"/>
    <x v="0"/>
    <s v="Auckland"/>
    <s v="New Zealand"/>
    <s v="Trailer"/>
    <s v="Standard"/>
    <m/>
    <m/>
    <m/>
    <x v="2"/>
  </r>
  <r>
    <n v="18"/>
    <s v="Boat Trailer"/>
    <n v="623"/>
    <n v="2004"/>
    <s v="BOAT"/>
    <s v="White"/>
    <d v="2021-04-11T00:00:00"/>
    <x v="8"/>
    <s v="Bay of Plenty"/>
    <s v="New Zealand"/>
    <s v="Trailer"/>
    <s v="Standard"/>
    <m/>
    <m/>
    <m/>
    <x v="2"/>
  </r>
  <r>
    <n v="19"/>
    <s v="Trailer"/>
    <n v="623"/>
    <n v="2014"/>
    <s v="DOMESTIC TRAILER"/>
    <s v="White"/>
    <d v="2021-05-11T00:00:00"/>
    <x v="8"/>
    <s v="Bay of Plenty"/>
    <s v="New Zealand"/>
    <s v="Trailer"/>
    <s v="Standard"/>
    <m/>
    <m/>
    <m/>
    <x v="2"/>
  </r>
  <r>
    <n v="20"/>
    <s v="Boat Trailer"/>
    <n v="623"/>
    <n v="2018"/>
    <s v="APS SEADOO"/>
    <s v="Silver"/>
    <d v="2021-05-11T00:00:00"/>
    <x v="3"/>
    <s v="Canterbury"/>
    <s v="New Zealand"/>
    <s v="Trailer"/>
    <s v="Standard"/>
    <m/>
    <m/>
    <m/>
    <x v="2"/>
  </r>
  <r>
    <n v="21"/>
    <s v="Roadbike"/>
    <n v="625"/>
    <n v="2002"/>
    <s v="THUNDERBIRD"/>
    <s v="Silver"/>
    <d v="2021-05-11T00:00:00"/>
    <x v="7"/>
    <s v="Northland"/>
    <s v="New Zealand"/>
    <s v="Triumph"/>
    <s v="Standard"/>
    <m/>
    <m/>
    <m/>
    <x v="1"/>
  </r>
  <r>
    <n v="22"/>
    <s v="Trailer"/>
    <n v="538"/>
    <n v="2000"/>
    <s v="BRENT SMITH TRAILERS"/>
    <s v="Silver"/>
    <d v="2021-05-12T00:00:00"/>
    <x v="8"/>
    <s v="Bay of Plenty"/>
    <s v="New Zealand"/>
    <s v="Factory Built"/>
    <s v="Standard"/>
    <m/>
    <m/>
    <m/>
    <x v="1"/>
  </r>
  <r>
    <n v="23"/>
    <s v="Trailer"/>
    <n v="623"/>
    <n v="2015"/>
    <s v="LOCAL"/>
    <s v="Silver"/>
    <d v="2021-06-11T00:00:00"/>
    <x v="3"/>
    <s v="Canterbury"/>
    <s v="New Zealand"/>
    <s v="Trailer"/>
    <s v="Standard"/>
    <m/>
    <m/>
    <m/>
    <x v="3"/>
  </r>
  <r>
    <n v="24"/>
    <s v="Trailer - Heavy"/>
    <n v="623"/>
    <n v="2021"/>
    <s v="CT DIG 25"/>
    <s v="Silver"/>
    <d v="2021-06-11T00:00:00"/>
    <x v="0"/>
    <s v="Auckland"/>
    <s v="New Zealand"/>
    <s v="Trailer"/>
    <s v="Standard"/>
    <m/>
    <m/>
    <m/>
    <x v="3"/>
  </r>
  <r>
    <n v="25"/>
    <s v="Trailer"/>
    <n v="623"/>
    <n v="2018"/>
    <s v="CHOOKS 2.4X1.6 TRANS"/>
    <s v="Silver"/>
    <d v="2021-06-11T00:00:00"/>
    <x v="2"/>
    <s v="Hawke's Bay"/>
    <s v="New Zealand"/>
    <s v="Trailer"/>
    <s v="Standard"/>
    <m/>
    <m/>
    <m/>
    <x v="3"/>
  </r>
  <r>
    <n v="26"/>
    <s v="Trailer"/>
    <n v="623"/>
    <n v="2017"/>
    <s v="EASY TILT"/>
    <s v="Silver"/>
    <d v="2021-06-12T00:00:00"/>
    <x v="6"/>
    <s v="Manawatū-Whanganui"/>
    <s v="New Zealand"/>
    <s v="Trailer"/>
    <s v="Standard"/>
    <m/>
    <m/>
    <m/>
    <x v="0"/>
  </r>
  <r>
    <n v="27"/>
    <s v="Trailer"/>
    <n v="623"/>
    <n v="2018"/>
    <s v="IFOR WILLIAMS CT177"/>
    <s v="Silver"/>
    <d v="2021-06-12T00:00:00"/>
    <x v="9"/>
    <s v="Waikato"/>
    <s v="New Zealand"/>
    <s v="Trailer"/>
    <s v="Standard"/>
    <m/>
    <m/>
    <m/>
    <x v="0"/>
  </r>
  <r>
    <n v="28"/>
    <s v="Trailer"/>
    <n v="623"/>
    <n v="2018"/>
    <s v="CONDOR"/>
    <s v="Silver"/>
    <d v="2021-06-12T00:00:00"/>
    <x v="4"/>
    <s v="Wellington"/>
    <s v="New Zealand"/>
    <s v="Trailer"/>
    <s v="Standard"/>
    <m/>
    <m/>
    <m/>
    <x v="0"/>
  </r>
  <r>
    <n v="29"/>
    <s v="Trailer"/>
    <n v="623"/>
    <n v="2018"/>
    <s v="HOMEBUILT"/>
    <s v="Silver"/>
    <d v="2021-06-12T00:00:00"/>
    <x v="8"/>
    <s v="Bay of Plenty"/>
    <s v="New Zealand"/>
    <s v="Trailer"/>
    <s v="Standard"/>
    <m/>
    <m/>
    <m/>
    <x v="0"/>
  </r>
  <r>
    <n v="30"/>
    <s v="Trailer"/>
    <n v="623"/>
    <n v="2018"/>
    <s v="PRO COMMERCIAL"/>
    <s v="Silver"/>
    <d v="2021-06-12T00:00:00"/>
    <x v="0"/>
    <s v="Auckland"/>
    <s v="New Zealand"/>
    <s v="Trailer"/>
    <s v="Standard"/>
    <m/>
    <m/>
    <m/>
    <x v="0"/>
  </r>
  <r>
    <n v="31"/>
    <s v="Trailer"/>
    <n v="623"/>
    <n v="2018"/>
    <s v="FACTORY"/>
    <s v="Grey"/>
    <d v="2021-07-10T00:00:00"/>
    <x v="0"/>
    <s v="Auckland"/>
    <s v="New Zealand"/>
    <s v="Trailer"/>
    <s v="Standard"/>
    <m/>
    <m/>
    <m/>
    <x v="1"/>
  </r>
  <r>
    <n v="32"/>
    <s v="Trailer"/>
    <n v="549"/>
    <n v="1998"/>
    <s v="TRAILER"/>
    <s v="Green"/>
    <d v="2021-07-10T00:00:00"/>
    <x v="3"/>
    <s v="Canterbury"/>
    <s v="New Zealand"/>
    <s v="Homebuilt"/>
    <s v="Standard"/>
    <m/>
    <m/>
    <m/>
    <x v="1"/>
  </r>
  <r>
    <n v="33"/>
    <s v="Boat Trailer"/>
    <n v="623"/>
    <n v="2017"/>
    <s v="JFK JETSKI"/>
    <s v="Grey"/>
    <d v="2021-07-12T00:00:00"/>
    <x v="8"/>
    <s v="Bay of Plenty"/>
    <s v="New Zealand"/>
    <s v="Trailer"/>
    <s v="Standard"/>
    <m/>
    <m/>
    <m/>
    <x v="4"/>
  </r>
  <r>
    <n v="34"/>
    <s v="Trailer"/>
    <n v="623"/>
    <n v="2021"/>
    <s v="BST 2021D"/>
    <s v="Silver"/>
    <d v="2021-07-12T00:00:00"/>
    <x v="0"/>
    <s v="Auckland"/>
    <s v="New Zealand"/>
    <s v="Trailer"/>
    <s v="Standard"/>
    <m/>
    <m/>
    <m/>
    <x v="4"/>
  </r>
  <r>
    <n v="35"/>
    <s v="Trailer"/>
    <n v="514"/>
    <n v="2021"/>
    <s v="10X5 TANDEM"/>
    <s v="Silver"/>
    <d v="2021-07-12T00:00:00"/>
    <x v="3"/>
    <s v="Canterbury"/>
    <s v="New Zealand"/>
    <s v="Briford"/>
    <s v="Standard"/>
    <m/>
    <m/>
    <m/>
    <x v="1"/>
  </r>
  <r>
    <n v="36"/>
    <s v="Trailer"/>
    <n v="623"/>
    <n v="2018"/>
    <s v="HOMEMADE"/>
    <s v="Grey"/>
    <d v="2021-07-12T00:00:00"/>
    <x v="9"/>
    <s v="Waikato"/>
    <s v="New Zealand"/>
    <s v="Trailer"/>
    <s v="Standard"/>
    <m/>
    <m/>
    <m/>
    <x v="4"/>
  </r>
  <r>
    <n v="37"/>
    <s v="Trailer"/>
    <n v="623"/>
    <n v="2018"/>
    <s v="COMPASS-KH63"/>
    <s v="Silver"/>
    <d v="2021-07-12T00:00:00"/>
    <x v="0"/>
    <s v="Auckland"/>
    <s v="New Zealand"/>
    <s v="Trailer"/>
    <s v="Standard"/>
    <m/>
    <m/>
    <m/>
    <x v="4"/>
  </r>
  <r>
    <n v="38"/>
    <s v="Trailer"/>
    <n v="623"/>
    <n v="2018"/>
    <s v="TRAYLA"/>
    <s v="Silver"/>
    <d v="2021-07-12T00:00:00"/>
    <x v="4"/>
    <s v="Wellington"/>
    <s v="New Zealand"/>
    <s v="Trailer"/>
    <s v="Standard"/>
    <m/>
    <m/>
    <m/>
    <x v="4"/>
  </r>
  <r>
    <n v="39"/>
    <s v="Trailer - Heavy"/>
    <n v="623"/>
    <n v="2021"/>
    <s v="PRESCOTT"/>
    <s v="Silver"/>
    <d v="2021-07-12T00:00:00"/>
    <x v="8"/>
    <s v="Bay of Plenty"/>
    <s v="New Zealand"/>
    <s v="Trailer"/>
    <s v="Standard"/>
    <m/>
    <m/>
    <m/>
    <x v="4"/>
  </r>
  <r>
    <n v="40"/>
    <s v="Trailer"/>
    <n v="549"/>
    <n v="2021"/>
    <s v="TRAILER"/>
    <s v="Black"/>
    <d v="2021-08-10T00:00:00"/>
    <x v="4"/>
    <s v="Wellington"/>
    <s v="New Zealand"/>
    <s v="Homebuilt"/>
    <s v="Standard"/>
    <m/>
    <m/>
    <m/>
    <x v="1"/>
  </r>
  <r>
    <n v="41"/>
    <s v="Trailer"/>
    <n v="623"/>
    <n v="2021"/>
    <s v="TRAYLA"/>
    <s v="Silver"/>
    <d v="2021-08-10T00:00:00"/>
    <x v="2"/>
    <s v="Hawke's Bay"/>
    <s v="New Zealand"/>
    <s v="Trailer"/>
    <s v="Standard"/>
    <m/>
    <m/>
    <m/>
    <x v="1"/>
  </r>
  <r>
    <n v="42"/>
    <s v="Trailer"/>
    <n v="623"/>
    <n v="2002"/>
    <s v="HOMEMADE"/>
    <s v="Silver"/>
    <d v="2021-08-11T00:00:00"/>
    <x v="0"/>
    <s v="Auckland"/>
    <s v="New Zealand"/>
    <s v="Trailer"/>
    <s v="Standard"/>
    <m/>
    <m/>
    <m/>
    <x v="5"/>
  </r>
  <r>
    <n v="43"/>
    <s v="Boat Trailer"/>
    <n v="623"/>
    <n v="2018"/>
    <s v="BST58OR"/>
    <s v="Silver"/>
    <d v="2021-08-11T00:00:00"/>
    <x v="0"/>
    <s v="Auckland"/>
    <s v="New Zealand"/>
    <s v="Trailer"/>
    <s v="Standard"/>
    <m/>
    <m/>
    <m/>
    <x v="5"/>
  </r>
  <r>
    <n v="44"/>
    <s v="Trailer"/>
    <n v="549"/>
    <n v="2018"/>
    <s v="TRAILER"/>
    <s v="Silver"/>
    <d v="2021-08-11T00:00:00"/>
    <x v="3"/>
    <s v="Canterbury"/>
    <s v="New Zealand"/>
    <s v="Homebuilt"/>
    <s v="Standard"/>
    <m/>
    <m/>
    <m/>
    <x v="1"/>
  </r>
  <r>
    <n v="45"/>
    <s v="Trailer"/>
    <n v="623"/>
    <n v="2014"/>
    <s v="DOMESTIC TRAILER"/>
    <s v="Silver"/>
    <d v="2021-08-11T00:00:00"/>
    <x v="8"/>
    <s v="Bay of Plenty"/>
    <s v="New Zealand"/>
    <s v="Trailer"/>
    <s v="Standard"/>
    <m/>
    <m/>
    <m/>
    <x v="5"/>
  </r>
  <r>
    <n v="46"/>
    <s v="Moped"/>
    <n v="538"/>
    <n v="2005"/>
    <s v="TGB PALIO"/>
    <s v="Silver"/>
    <d v="2021-08-11T00:00:00"/>
    <x v="2"/>
    <s v="Hawke's Bay"/>
    <s v="New Zealand"/>
    <s v="Factory Built"/>
    <s v="Standard"/>
    <m/>
    <m/>
    <m/>
    <x v="1"/>
  </r>
  <r>
    <n v="47"/>
    <s v="Trailer - Heavy"/>
    <n v="623"/>
    <n v="2004"/>
    <s v="TANDEM"/>
    <s v="Grey"/>
    <d v="2021-08-11T00:00:00"/>
    <x v="0"/>
    <s v="Auckland"/>
    <s v="New Zealand"/>
    <s v="Trailer"/>
    <s v="Standard"/>
    <m/>
    <m/>
    <m/>
    <x v="5"/>
  </r>
  <r>
    <n v="48"/>
    <s v="Trailer"/>
    <n v="527"/>
    <n v="2021"/>
    <s v="TRAILER"/>
    <s v="Silver"/>
    <d v="2021-08-11T00:00:00"/>
    <x v="0"/>
    <s v="Auckland"/>
    <s v="New Zealand"/>
    <s v="Custombuilt"/>
    <s v="Standard"/>
    <m/>
    <m/>
    <m/>
    <x v="1"/>
  </r>
  <r>
    <n v="49"/>
    <s v="Trailer"/>
    <n v="623"/>
    <n v="2021"/>
    <s v="DOMESTIC"/>
    <s v="Grey"/>
    <d v="2021-08-12T00:00:00"/>
    <x v="0"/>
    <s v="Auckland"/>
    <s v="New Zealand"/>
    <s v="Trailer"/>
    <s v="Standard"/>
    <m/>
    <m/>
    <m/>
    <x v="2"/>
  </r>
  <r>
    <n v="50"/>
    <s v="Trailer"/>
    <n v="623"/>
    <n v="2021"/>
    <s v="M J TANDEM AXLE"/>
    <s v="Silver"/>
    <d v="2021-08-12T00:00:00"/>
    <x v="3"/>
    <s v="Canterbury"/>
    <s v="New Zealand"/>
    <s v="Trailer"/>
    <s v="Standard"/>
    <m/>
    <m/>
    <m/>
    <x v="2"/>
  </r>
  <r>
    <n v="51"/>
    <s v="Trailer"/>
    <n v="514"/>
    <n v="2021"/>
    <s v="8X4 CAGE"/>
    <s v="Silver"/>
    <d v="2021-09-10T00:00:00"/>
    <x v="0"/>
    <s v="Auckland"/>
    <s v="New Zealand"/>
    <s v="Briford"/>
    <s v="Standard"/>
    <m/>
    <m/>
    <m/>
    <x v="1"/>
  </r>
  <r>
    <n v="52"/>
    <s v="Caravan"/>
    <n v="537"/>
    <n v="2003"/>
    <s v="RIVIERA 482"/>
    <s v="White"/>
    <d v="2021-09-10T00:00:00"/>
    <x v="3"/>
    <s v="Canterbury"/>
    <s v="New Zealand"/>
    <s v="Elddis"/>
    <s v="Standard"/>
    <m/>
    <m/>
    <m/>
    <x v="1"/>
  </r>
  <r>
    <n v="53"/>
    <s v="Roadbike"/>
    <n v="636"/>
    <n v="1995"/>
    <s v="XTZ660BG"/>
    <s v="Blue"/>
    <d v="2021-09-11T00:00:00"/>
    <x v="10"/>
    <s v="Nelson"/>
    <s v="New Zealand"/>
    <s v="Yamaha"/>
    <s v="Standard"/>
    <m/>
    <m/>
    <m/>
    <x v="1"/>
  </r>
  <r>
    <n v="54"/>
    <s v="Roadbike"/>
    <n v="561"/>
    <n v="1999"/>
    <s v="NINJA"/>
    <s v="Green"/>
    <d v="2021-09-11T00:00:00"/>
    <x v="8"/>
    <s v="Bay of Plenty"/>
    <s v="New Zealand"/>
    <s v="Kawasaki"/>
    <s v="Standard"/>
    <m/>
    <m/>
    <m/>
    <x v="1"/>
  </r>
  <r>
    <n v="55"/>
    <s v="Trailer - Heavy"/>
    <n v="623"/>
    <n v="2021"/>
    <s v="PRESCOTT"/>
    <s v="Silver"/>
    <d v="2021-09-11T00:00:00"/>
    <x v="8"/>
    <s v="Bay of Plenty"/>
    <s v="New Zealand"/>
    <s v="Trailer"/>
    <s v="Standard"/>
    <m/>
    <m/>
    <m/>
    <x v="1"/>
  </r>
  <r>
    <n v="56"/>
    <s v="Trailer - Heavy"/>
    <n v="623"/>
    <n v="2000"/>
    <s v="BRIFORD"/>
    <s v="Yellow"/>
    <d v="2021-10-10T00:00:00"/>
    <x v="0"/>
    <s v="Auckland"/>
    <s v="New Zealand"/>
    <s v="Trailer"/>
    <s v="Standard"/>
    <m/>
    <m/>
    <m/>
    <x v="5"/>
  </r>
  <r>
    <n v="57"/>
    <s v="Boat Trailer"/>
    <n v="623"/>
    <n v="2021"/>
    <s v="ASD JETSKI"/>
    <s v="Silver"/>
    <d v="2021-10-10T00:00:00"/>
    <x v="0"/>
    <s v="Auckland"/>
    <s v="New Zealand"/>
    <s v="Trailer"/>
    <s v="Standard"/>
    <m/>
    <m/>
    <m/>
    <x v="5"/>
  </r>
  <r>
    <n v="58"/>
    <s v="Trailer"/>
    <n v="623"/>
    <n v="1997"/>
    <s v="BRIFORD 8X4-6COVERED"/>
    <s v="Yellow"/>
    <d v="2021-10-10T00:00:00"/>
    <x v="1"/>
    <s v="Gisborne"/>
    <s v="New Zealand"/>
    <s v="Trailer"/>
    <s v="Standard"/>
    <m/>
    <m/>
    <m/>
    <x v="5"/>
  </r>
  <r>
    <n v="59"/>
    <s v="Trailer"/>
    <n v="623"/>
    <n v="2021"/>
    <s v="HOMEBUILT"/>
    <s v="Black"/>
    <d v="2021-10-10T00:00:00"/>
    <x v="0"/>
    <s v="Auckland"/>
    <s v="New Zealand"/>
    <s v="Trailer"/>
    <s v="Standard"/>
    <m/>
    <m/>
    <m/>
    <x v="5"/>
  </r>
  <r>
    <n v="60"/>
    <s v="Trailer"/>
    <n v="623"/>
    <n v="1983"/>
    <s v="OLEARY"/>
    <s v="Red"/>
    <d v="2021-10-11T00:00:00"/>
    <x v="6"/>
    <s v="Manawatū-Whanganui"/>
    <s v="New Zealand"/>
    <s v="Trailer"/>
    <s v="Standard"/>
    <m/>
    <m/>
    <m/>
    <x v="1"/>
  </r>
  <r>
    <n v="61"/>
    <s v="Trailer"/>
    <n v="623"/>
    <n v="2021"/>
    <s v="TRAILERWORLD 9X5 HSB"/>
    <s v="Silver"/>
    <d v="2021-10-13T00:00:00"/>
    <x v="0"/>
    <s v="Auckland"/>
    <s v="New Zealand"/>
    <s v="Trailer"/>
    <s v="Standard"/>
    <m/>
    <m/>
    <m/>
    <x v="1"/>
  </r>
  <r>
    <n v="62"/>
    <s v="Trailer"/>
    <n v="623"/>
    <n v="2018"/>
    <s v="SINGLE AXLE"/>
    <s v="Silver"/>
    <d v="2021-10-14T00:00:00"/>
    <x v="0"/>
    <s v="Auckland"/>
    <s v="New Zealand"/>
    <s v="Trailer"/>
    <s v="Standard"/>
    <m/>
    <m/>
    <m/>
    <x v="3"/>
  </r>
  <r>
    <n v="63"/>
    <s v="Moped"/>
    <n v="550"/>
    <n v="2008"/>
    <s v="TODAY 50"/>
    <s v="Yellow"/>
    <d v="2021-10-14T00:00:00"/>
    <x v="8"/>
    <s v="Bay of Plenty"/>
    <s v="New Zealand"/>
    <s v="Honda"/>
    <s v="Standard"/>
    <m/>
    <m/>
    <m/>
    <x v="1"/>
  </r>
  <r>
    <n v="64"/>
    <s v="Trailer"/>
    <n v="623"/>
    <n v="2018"/>
    <s v="IFOR WILLIAMS"/>
    <s v="Black"/>
    <d v="2021-10-14T00:00:00"/>
    <x v="8"/>
    <s v="Bay of Plenty"/>
    <s v="New Zealand"/>
    <s v="Trailer"/>
    <s v="Standard"/>
    <m/>
    <m/>
    <m/>
    <x v="3"/>
  </r>
  <r>
    <n v="65"/>
    <s v="Trailer"/>
    <n v="623"/>
    <n v="2014"/>
    <s v="PRESCOTT"/>
    <s v="Silver"/>
    <d v="2021-10-14T00:00:00"/>
    <x v="8"/>
    <s v="Bay of Plenty"/>
    <s v="New Zealand"/>
    <s v="Trailer"/>
    <s v="Standard"/>
    <m/>
    <m/>
    <m/>
    <x v="3"/>
  </r>
  <r>
    <n v="66"/>
    <s v="Boat Trailer"/>
    <n v="623"/>
    <n v="2014"/>
    <s v="SPORTLINE"/>
    <s v="Silver"/>
    <d v="2021-10-15T00:00:00"/>
    <x v="1"/>
    <s v="Gisborne"/>
    <s v="New Zealand"/>
    <s v="Trailer"/>
    <s v="Standard"/>
    <m/>
    <m/>
    <m/>
    <x v="1"/>
  </r>
  <r>
    <n v="67"/>
    <s v="Hatchback"/>
    <n v="540"/>
    <n v="2006"/>
    <s v="FOCUS"/>
    <s v="Blue"/>
    <d v="2021-10-16T00:00:00"/>
    <x v="1"/>
    <s v="Gisborne"/>
    <s v="New Zealand"/>
    <s v="Ford"/>
    <s v="Standard"/>
    <m/>
    <m/>
    <m/>
    <x v="1"/>
  </r>
  <r>
    <n v="68"/>
    <s v="Trailer - Heavy"/>
    <n v="623"/>
    <n v="2014"/>
    <s v="TILTING FLAT DECK"/>
    <s v="Silver"/>
    <d v="2021-10-17T00:00:00"/>
    <x v="1"/>
    <s v="Gisborne"/>
    <s v="New Zealand"/>
    <s v="Trailer"/>
    <s v="Standard"/>
    <m/>
    <m/>
    <m/>
    <x v="1"/>
  </r>
  <r>
    <n v="69"/>
    <s v="Trailer"/>
    <n v="623"/>
    <n v="2014"/>
    <s v="PMTRAILER"/>
    <s v="Silver"/>
    <d v="2021-10-18T00:00:00"/>
    <x v="3"/>
    <s v="Canterbury"/>
    <s v="New Zealand"/>
    <s v="Trailer"/>
    <s v="Standard"/>
    <m/>
    <m/>
    <m/>
    <x v="2"/>
  </r>
  <r>
    <n v="70"/>
    <s v="Boat Trailer"/>
    <n v="551"/>
    <n v="2014"/>
    <s v="BOAT TRAILER"/>
    <s v="Silver"/>
    <d v="2021-10-18T00:00:00"/>
    <x v="9"/>
    <s v="Waikato"/>
    <s v="New Zealand"/>
    <s v="Hoskings"/>
    <s v="Standard"/>
    <m/>
    <m/>
    <m/>
    <x v="1"/>
  </r>
  <r>
    <n v="71"/>
    <s v="Trailer"/>
    <n v="623"/>
    <n v="2014"/>
    <s v="TRAYLA"/>
    <s v="Silver"/>
    <d v="2021-10-18T00:00:00"/>
    <x v="11"/>
    <s v="Taranaki"/>
    <s v="New Zealand"/>
    <s v="Trailer"/>
    <s v="Standard"/>
    <m/>
    <m/>
    <m/>
    <x v="2"/>
  </r>
  <r>
    <n v="72"/>
    <s v="Trailer"/>
    <n v="623"/>
    <n v="2014"/>
    <s v="ELITE"/>
    <s v="Silver"/>
    <d v="2021-10-19T00:00:00"/>
    <x v="0"/>
    <s v="Auckland"/>
    <s v="New Zealand"/>
    <s v="Trailer"/>
    <s v="Standard"/>
    <m/>
    <m/>
    <m/>
    <x v="5"/>
  </r>
  <r>
    <n v="73"/>
    <s v="Trailer"/>
    <n v="623"/>
    <n v="2014"/>
    <s v="ELITE 7X4"/>
    <s v="Silver"/>
    <d v="2021-10-19T00:00:00"/>
    <x v="3"/>
    <s v="Canterbury"/>
    <s v="New Zealand"/>
    <s v="Trailer"/>
    <s v="Standard"/>
    <m/>
    <m/>
    <m/>
    <x v="5"/>
  </r>
  <r>
    <n v="74"/>
    <s v="Caravan"/>
    <n v="591"/>
    <n v="1969"/>
    <s v="PIONEER"/>
    <s v="White"/>
    <d v="2021-10-19T00:00:00"/>
    <x v="8"/>
    <s v="Bay of Plenty"/>
    <s v="New Zealand"/>
    <s v="Oxford"/>
    <s v="Standard"/>
    <m/>
    <m/>
    <m/>
    <x v="1"/>
  </r>
  <r>
    <n v="75"/>
    <s v="Saloon"/>
    <n v="512"/>
    <n v="2007"/>
    <s v="323I"/>
    <s v="White"/>
    <d v="2021-10-19T00:00:00"/>
    <x v="0"/>
    <s v="Auckland"/>
    <s v="New Zealand"/>
    <s v="BMW"/>
    <s v="Luxury"/>
    <m/>
    <m/>
    <m/>
    <x v="1"/>
  </r>
  <r>
    <n v="76"/>
    <s v="Trailer"/>
    <n v="623"/>
    <n v="2015"/>
    <s v="7 X 4 STD"/>
    <s v="Silver"/>
    <d v="2021-10-19T00:00:00"/>
    <x v="0"/>
    <s v="Auckland"/>
    <s v="New Zealand"/>
    <s v="Trailer"/>
    <s v="Standard"/>
    <m/>
    <m/>
    <m/>
    <x v="5"/>
  </r>
  <r>
    <n v="77"/>
    <s v="Trailer"/>
    <n v="623"/>
    <n v="2011"/>
    <s v="HOMEBUILT"/>
    <s v="Grey"/>
    <d v="2021-10-19T00:00:00"/>
    <x v="0"/>
    <s v="Auckland"/>
    <s v="New Zealand"/>
    <s v="Trailer"/>
    <s v="Standard"/>
    <m/>
    <m/>
    <m/>
    <x v="5"/>
  </r>
  <r>
    <n v="78"/>
    <s v="Boat Trailer"/>
    <n v="623"/>
    <n v="2015"/>
    <s v="ENDURO"/>
    <s v="Silver"/>
    <d v="2021-10-21T00:00:00"/>
    <x v="8"/>
    <s v="Bay of Plenty"/>
    <s v="New Zealand"/>
    <s v="Trailer"/>
    <s v="Standard"/>
    <m/>
    <m/>
    <m/>
    <x v="5"/>
  </r>
  <r>
    <n v="79"/>
    <s v="Trailer"/>
    <n v="623"/>
    <n v="2015"/>
    <s v="TRAYLA"/>
    <s v="Silver"/>
    <d v="2021-10-21T00:00:00"/>
    <x v="2"/>
    <s v="Hawke's Bay"/>
    <s v="New Zealand"/>
    <s v="Trailer"/>
    <s v="Standard"/>
    <m/>
    <m/>
    <m/>
    <x v="5"/>
  </r>
  <r>
    <n v="80"/>
    <s v="Trailer"/>
    <n v="623"/>
    <n v="2015"/>
    <s v="ELITE 8X5"/>
    <s v="Silver"/>
    <d v="2021-10-21T00:00:00"/>
    <x v="3"/>
    <s v="Canterbury"/>
    <s v="New Zealand"/>
    <s v="Trailer"/>
    <s v="Standard"/>
    <m/>
    <m/>
    <m/>
    <x v="5"/>
  </r>
  <r>
    <n v="81"/>
    <s v="Trailer"/>
    <n v="623"/>
    <n v="2015"/>
    <s v="COMPASS D105"/>
    <s v="Silver"/>
    <d v="2021-10-21T00:00:00"/>
    <x v="0"/>
    <s v="Auckland"/>
    <s v="New Zealand"/>
    <s v="Trailer"/>
    <s v="Standard"/>
    <m/>
    <m/>
    <m/>
    <x v="5"/>
  </r>
  <r>
    <n v="82"/>
    <s v="Trailer"/>
    <n v="623"/>
    <n v="2015"/>
    <s v="DOMESTIC TRAILER"/>
    <s v="Silver"/>
    <d v="2021-10-22T00:00:00"/>
    <x v="9"/>
    <s v="Waikato"/>
    <s v="New Zealand"/>
    <s v="Trailer"/>
    <s v="Standard"/>
    <m/>
    <m/>
    <m/>
    <x v="2"/>
  </r>
  <r>
    <n v="83"/>
    <s v="Trailer - Heavy"/>
    <n v="623"/>
    <n v="1998"/>
    <s v="TANK"/>
    <s v="White"/>
    <d v="2021-10-22T00:00:00"/>
    <x v="8"/>
    <s v="Bay of Plenty"/>
    <s v="New Zealand"/>
    <s v="Trailer"/>
    <s v="Standard"/>
    <m/>
    <m/>
    <m/>
    <x v="2"/>
  </r>
  <r>
    <n v="84"/>
    <s v="Stationwagon"/>
    <n v="507"/>
    <n v="2015"/>
    <s v="ALLROAD"/>
    <s v="Silver"/>
    <d v="2021-10-24T00:00:00"/>
    <x v="4"/>
    <s v="Wellington"/>
    <s v="New Zealand"/>
    <s v="Audi"/>
    <s v="Standard"/>
    <m/>
    <m/>
    <m/>
    <x v="1"/>
  </r>
  <r>
    <n v="85"/>
    <s v="Trailer"/>
    <n v="623"/>
    <n v="2015"/>
    <s v="ELITE 8X4"/>
    <s v="Silver"/>
    <d v="2021-10-24T00:00:00"/>
    <x v="3"/>
    <s v="Canterbury"/>
    <s v="New Zealand"/>
    <s v="Trailer"/>
    <s v="Standard"/>
    <m/>
    <m/>
    <m/>
    <x v="1"/>
  </r>
  <r>
    <n v="86"/>
    <s v="Roadbike"/>
    <n v="629"/>
    <n v="2001"/>
    <s v="PIAGGIO"/>
    <s v="Silver"/>
    <d v="2021-10-24T00:00:00"/>
    <x v="0"/>
    <s v="Auckland"/>
    <s v="New Zealand"/>
    <s v="Vespa"/>
    <s v="Standard"/>
    <m/>
    <m/>
    <m/>
    <x v="1"/>
  </r>
  <r>
    <n v="87"/>
    <s v="Trailer"/>
    <n v="623"/>
    <n v="2015"/>
    <s v="HELMACK 8X5"/>
    <s v="Silver"/>
    <d v="2021-10-25T00:00:00"/>
    <x v="3"/>
    <s v="Canterbury"/>
    <s v="New Zealand"/>
    <s v="Trailer"/>
    <s v="Standard"/>
    <m/>
    <m/>
    <m/>
    <x v="2"/>
  </r>
  <r>
    <n v="88"/>
    <s v="Trailer"/>
    <n v="623"/>
    <n v="1984"/>
    <s v="LOCAL"/>
    <s v="Yellow"/>
    <d v="2021-10-25T00:00:00"/>
    <x v="0"/>
    <s v="Auckland"/>
    <s v="New Zealand"/>
    <s v="Trailer"/>
    <s v="Standard"/>
    <m/>
    <m/>
    <m/>
    <x v="2"/>
  </r>
  <r>
    <n v="89"/>
    <s v="Trailer"/>
    <n v="623"/>
    <n v="2015"/>
    <s v="SINGLE AXLE"/>
    <s v="Silver"/>
    <d v="2021-10-26T00:00:00"/>
    <x v="9"/>
    <s v="Waikato"/>
    <s v="New Zealand"/>
    <s v="Trailer"/>
    <s v="Standard"/>
    <m/>
    <m/>
    <m/>
    <x v="1"/>
  </r>
  <r>
    <n v="90"/>
    <s v="Boat Trailer"/>
    <n v="623"/>
    <n v="2008"/>
    <s v="BOAT"/>
    <s v="Silver"/>
    <d v="2021-10-27T00:00:00"/>
    <x v="8"/>
    <s v="Bay of Plenty"/>
    <s v="New Zealand"/>
    <s v="Trailer"/>
    <s v="Standard"/>
    <m/>
    <m/>
    <m/>
    <x v="2"/>
  </r>
  <r>
    <n v="91"/>
    <s v="Trailer"/>
    <n v="623"/>
    <n v="1990"/>
    <s v="HOMEBUILT"/>
    <s v="Blue"/>
    <d v="2021-10-27T00:00:00"/>
    <x v="8"/>
    <s v="Bay of Plenty"/>
    <s v="New Zealand"/>
    <s v="Trailer"/>
    <s v="Standard"/>
    <m/>
    <m/>
    <m/>
    <x v="2"/>
  </r>
  <r>
    <n v="92"/>
    <s v="Trailer"/>
    <n v="623"/>
    <n v="2000"/>
    <s v="PRESCOTT"/>
    <s v="Silver"/>
    <d v="2021-10-28T00:00:00"/>
    <x v="8"/>
    <s v="Bay of Plenty"/>
    <s v="New Zealand"/>
    <s v="Trailer"/>
    <s v="Standard"/>
    <m/>
    <m/>
    <m/>
    <x v="2"/>
  </r>
  <r>
    <n v="93"/>
    <s v="Trailer"/>
    <n v="549"/>
    <n v="1996"/>
    <s v="TRAILER"/>
    <s v="Silver"/>
    <d v="2021-10-28T00:00:00"/>
    <x v="0"/>
    <s v="Auckland"/>
    <s v="New Zealand"/>
    <s v="Homebuilt"/>
    <s v="Standard"/>
    <m/>
    <m/>
    <m/>
    <x v="1"/>
  </r>
  <r>
    <n v="94"/>
    <s v="Trailer"/>
    <n v="623"/>
    <n v="2018"/>
    <s v="COMPASS-C85"/>
    <s v="Silver"/>
    <d v="2021-10-28T00:00:00"/>
    <x v="0"/>
    <s v="Auckland"/>
    <s v="New Zealand"/>
    <s v="Trailer"/>
    <s v="Standard"/>
    <m/>
    <m/>
    <m/>
    <x v="2"/>
  </r>
  <r>
    <n v="95"/>
    <s v="Trailer"/>
    <n v="616"/>
    <n v="2018"/>
    <s v="DOMESTIC TRAILER"/>
    <s v="Silver"/>
    <d v="2021-10-29T00:00:00"/>
    <x v="0"/>
    <s v="Auckland"/>
    <s v="New Zealand"/>
    <s v="Titan"/>
    <s v="Standard"/>
    <m/>
    <m/>
    <m/>
    <x v="1"/>
  </r>
  <r>
    <n v="96"/>
    <s v="Trailer"/>
    <n v="527"/>
    <n v="1985"/>
    <s v="TANDEM"/>
    <s v="Silver"/>
    <d v="2021-10-29T00:00:00"/>
    <x v="0"/>
    <s v="Auckland"/>
    <s v="New Zealand"/>
    <s v="Custombuilt"/>
    <s v="Standard"/>
    <m/>
    <m/>
    <m/>
    <x v="1"/>
  </r>
  <r>
    <n v="97"/>
    <s v="Roadbike"/>
    <n v="550"/>
    <n v="2005"/>
    <s v="VT"/>
    <s v="Red"/>
    <d v="2021-10-29T00:00:00"/>
    <x v="0"/>
    <s v="Auckland"/>
    <s v="New Zealand"/>
    <s v="Honda"/>
    <s v="Standard"/>
    <m/>
    <m/>
    <m/>
    <x v="2"/>
  </r>
  <r>
    <n v="98"/>
    <s v="Roadbike"/>
    <n v="550"/>
    <n v="2000"/>
    <s v="CBR"/>
    <s v="Blue"/>
    <d v="2021-10-29T00:00:00"/>
    <x v="3"/>
    <s v="Canterbury"/>
    <s v="New Zealand"/>
    <s v="Honda"/>
    <s v="Standard"/>
    <m/>
    <m/>
    <m/>
    <x v="2"/>
  </r>
  <r>
    <n v="99"/>
    <s v="Trailer"/>
    <n v="623"/>
    <n v="2022"/>
    <s v="HOMEBUILT"/>
    <s v="Black"/>
    <d v="2021-10-29T00:00:00"/>
    <x v="0"/>
    <s v="Auckland"/>
    <s v="New Zealand"/>
    <s v="Trailer"/>
    <s v="Standard"/>
    <m/>
    <m/>
    <m/>
    <x v="1"/>
  </r>
  <r>
    <n v="100"/>
    <s v="Boat Trailer"/>
    <n v="623"/>
    <n v="2021"/>
    <s v="JETSKI ACTION LAB"/>
    <s v="Grey"/>
    <d v="2021-10-30T00:00:00"/>
    <x v="9"/>
    <s v="Waikato"/>
    <s v="New Zealand"/>
    <s v="Trailer"/>
    <s v="Standard"/>
    <m/>
    <m/>
    <m/>
    <x v="2"/>
  </r>
  <r>
    <n v="101"/>
    <s v="Trailer"/>
    <n v="623"/>
    <n v="2000"/>
    <s v="HOMEBUILT"/>
    <s v="Silver"/>
    <d v="2021-10-30T00:00:00"/>
    <x v="2"/>
    <s v="Hawke's Bay"/>
    <s v="New Zealand"/>
    <s v="Trailer"/>
    <s v="Standard"/>
    <m/>
    <m/>
    <m/>
    <x v="2"/>
  </r>
  <r>
    <n v="102"/>
    <s v="Trailer"/>
    <n v="549"/>
    <n v="2022"/>
    <s v="TRAILER"/>
    <s v="Black"/>
    <d v="2021-10-31T00:00:00"/>
    <x v="8"/>
    <s v="Bay of Plenty"/>
    <s v="New Zealand"/>
    <s v="Homebuilt"/>
    <s v="Standard"/>
    <m/>
    <m/>
    <m/>
    <x v="1"/>
  </r>
  <r>
    <n v="103"/>
    <s v="Trailer"/>
    <n v="623"/>
    <n v="1998"/>
    <s v="MARTIN ENGINEERING"/>
    <s v="White"/>
    <d v="2021-10-31T00:00:00"/>
    <x v="0"/>
    <s v="Auckland"/>
    <s v="New Zealand"/>
    <s v="Trailer"/>
    <s v="Standard"/>
    <m/>
    <m/>
    <m/>
    <x v="2"/>
  </r>
  <r>
    <n v="104"/>
    <s v="Trailer"/>
    <n v="623"/>
    <n v="2018"/>
    <s v="TUFF"/>
    <s v="Silver"/>
    <d v="2021-10-31T00:00:00"/>
    <x v="8"/>
    <s v="Bay of Plenty"/>
    <s v="New Zealand"/>
    <s v="Trailer"/>
    <s v="Standard"/>
    <m/>
    <m/>
    <m/>
    <x v="2"/>
  </r>
  <r>
    <n v="105"/>
    <s v="Trailer"/>
    <n v="623"/>
    <n v="1977"/>
    <s v="LOCAL"/>
    <s v="Brown"/>
    <d v="2021-11-10T00:00:00"/>
    <x v="8"/>
    <s v="Bay of Plenty"/>
    <s v="New Zealand"/>
    <s v="Trailer"/>
    <s v="Standard"/>
    <m/>
    <m/>
    <m/>
    <x v="3"/>
  </r>
  <r>
    <n v="106"/>
    <s v="Trailer - Heavy"/>
    <n v="623"/>
    <n v="2018"/>
    <s v="8X4 TRAYLA"/>
    <s v="Silver"/>
    <d v="2021-11-10T00:00:00"/>
    <x v="2"/>
    <s v="Hawke's Bay"/>
    <s v="New Zealand"/>
    <s v="Trailer"/>
    <s v="Standard"/>
    <m/>
    <m/>
    <m/>
    <x v="3"/>
  </r>
  <r>
    <n v="107"/>
    <s v="Trailer"/>
    <n v="623"/>
    <n v="1980"/>
    <s v="HOMEMADE"/>
    <s v="Blue"/>
    <d v="2021-11-10T00:00:00"/>
    <x v="10"/>
    <s v="Nelson"/>
    <s v="New Zealand"/>
    <s v="Trailer"/>
    <s v="Standard"/>
    <m/>
    <m/>
    <m/>
    <x v="3"/>
  </r>
  <r>
    <n v="108"/>
    <s v="Trailer - Heavy"/>
    <n v="623"/>
    <n v="2018"/>
    <s v="NYMIC"/>
    <s v="White"/>
    <d v="2021-11-11T00:00:00"/>
    <x v="3"/>
    <s v="Canterbury"/>
    <s v="New Zealand"/>
    <s v="Trailer"/>
    <s v="Standard"/>
    <m/>
    <m/>
    <m/>
    <x v="1"/>
  </r>
  <r>
    <n v="109"/>
    <s v="Trailer"/>
    <n v="623"/>
    <n v="2022"/>
    <s v="TRAILER"/>
    <s v="Silver"/>
    <d v="2021-11-12T00:00:00"/>
    <x v="0"/>
    <s v="Auckland"/>
    <s v="New Zealand"/>
    <s v="Trailer"/>
    <s v="Standard"/>
    <m/>
    <m/>
    <m/>
    <x v="2"/>
  </r>
  <r>
    <n v="110"/>
    <s v="Trailer"/>
    <n v="623"/>
    <n v="2019"/>
    <s v="TANDEM"/>
    <s v="Grey"/>
    <d v="2021-11-12T00:00:00"/>
    <x v="4"/>
    <s v="Wellington"/>
    <s v="New Zealand"/>
    <s v="Trailer"/>
    <s v="Standard"/>
    <m/>
    <m/>
    <m/>
    <x v="2"/>
  </r>
  <r>
    <n v="111"/>
    <s v="Trailer"/>
    <n v="623"/>
    <n v="2022"/>
    <s v="COMPASS-D116K"/>
    <s v="Silver"/>
    <d v="2021-11-13T00:00:00"/>
    <x v="2"/>
    <s v="Hawke's Bay"/>
    <s v="New Zealand"/>
    <s v="Trailer"/>
    <s v="Standard"/>
    <m/>
    <m/>
    <m/>
    <x v="2"/>
  </r>
  <r>
    <n v="112"/>
    <s v="Roadbike"/>
    <n v="545"/>
    <n v="2004"/>
    <s v="FXSTDI"/>
    <s v="Red"/>
    <d v="2021-11-13T00:00:00"/>
    <x v="0"/>
    <s v="Auckland"/>
    <s v="New Zealand"/>
    <s v="Harley Davidson"/>
    <s v="Standard"/>
    <m/>
    <m/>
    <m/>
    <x v="1"/>
  </r>
  <r>
    <n v="113"/>
    <s v="Trailer"/>
    <n v="623"/>
    <n v="1967"/>
    <s v="LOCAL"/>
    <s v="Grey"/>
    <d v="2021-11-13T00:00:00"/>
    <x v="3"/>
    <s v="Canterbury"/>
    <s v="New Zealand"/>
    <s v="Trailer"/>
    <s v="Standard"/>
    <m/>
    <m/>
    <m/>
    <x v="2"/>
  </r>
  <r>
    <n v="114"/>
    <s v="Caravan"/>
    <n v="519"/>
    <n v="2006"/>
    <s v="SWIFT CHARISMA 230"/>
    <s v="White"/>
    <d v="2021-11-14T00:00:00"/>
    <x v="0"/>
    <s v="Auckland"/>
    <s v="New Zealand"/>
    <s v="Caravan"/>
    <s v="Standard"/>
    <m/>
    <m/>
    <m/>
    <x v="1"/>
  </r>
  <r>
    <n v="115"/>
    <s v="Trailer"/>
    <n v="623"/>
    <n v="2018"/>
    <s v="TANK"/>
    <s v="Silver"/>
    <d v="2021-11-15T00:00:00"/>
    <x v="3"/>
    <s v="Canterbury"/>
    <s v="New Zealand"/>
    <s v="Trailer"/>
    <s v="Standard"/>
    <m/>
    <m/>
    <m/>
    <x v="2"/>
  </r>
  <r>
    <n v="116"/>
    <s v="Tractor"/>
    <n v="575"/>
    <n v="2007"/>
    <s v="FERGUSSON"/>
    <s v="Red"/>
    <d v="2021-11-15T00:00:00"/>
    <x v="9"/>
    <s v="Waikato"/>
    <s v="New Zealand"/>
    <s v="Massey"/>
    <s v="Standard"/>
    <m/>
    <m/>
    <m/>
    <x v="1"/>
  </r>
  <r>
    <n v="117"/>
    <s v="Trailer"/>
    <n v="623"/>
    <n v="2022"/>
    <s v="BST85"/>
    <s v="Silver"/>
    <d v="2021-11-15T00:00:00"/>
    <x v="4"/>
    <s v="Wellington"/>
    <s v="New Zealand"/>
    <s v="Trailer"/>
    <s v="Standard"/>
    <m/>
    <m/>
    <m/>
    <x v="2"/>
  </r>
  <r>
    <n v="118"/>
    <s v="Roadbike"/>
    <n v="611"/>
    <n v="2003"/>
    <s v="LS650P"/>
    <s v="Black"/>
    <d v="2021-11-15T00:00:00"/>
    <x v="7"/>
    <s v="Northland"/>
    <s v="New Zealand"/>
    <s v="Suzuki"/>
    <s v="Standard"/>
    <m/>
    <m/>
    <m/>
    <x v="1"/>
  </r>
  <r>
    <n v="119"/>
    <s v="Boat Trailer"/>
    <n v="626"/>
    <n v="2022"/>
    <s v="JET SKI"/>
    <s v="Black"/>
    <d v="2021-11-15T00:00:00"/>
    <x v="0"/>
    <s v="Auckland"/>
    <s v="New Zealand"/>
    <s v="Trojan"/>
    <s v="Standard"/>
    <m/>
    <m/>
    <m/>
    <x v="1"/>
  </r>
  <r>
    <n v="120"/>
    <s v="Trailer"/>
    <n v="623"/>
    <n v="2022"/>
    <s v="VULCAN"/>
    <s v="Silver"/>
    <d v="2021-11-16T00:00:00"/>
    <x v="0"/>
    <s v="Auckland"/>
    <s v="New Zealand"/>
    <s v="Trailer"/>
    <s v="Standard"/>
    <m/>
    <m/>
    <m/>
    <x v="1"/>
  </r>
  <r>
    <n v="121"/>
    <s v="Boat Trailer"/>
    <n v="549"/>
    <n v="1989"/>
    <s v="EZ LOADER STABI CRAF"/>
    <s v="Grey"/>
    <d v="2021-11-16T00:00:00"/>
    <x v="3"/>
    <s v="Canterbury"/>
    <s v="New Zealand"/>
    <s v="Homebuilt"/>
    <s v="Standard"/>
    <m/>
    <m/>
    <m/>
    <x v="1"/>
  </r>
  <r>
    <n v="122"/>
    <s v="Boat Trailer"/>
    <n v="623"/>
    <n v="2017"/>
    <s v="MCLAY"/>
    <s v="Silver"/>
    <d v="2021-11-17T00:00:00"/>
    <x v="1"/>
    <s v="Gisborne"/>
    <s v="New Zealand"/>
    <s v="Trailer"/>
    <s v="Standard"/>
    <m/>
    <m/>
    <m/>
    <x v="1"/>
  </r>
  <r>
    <n v="123"/>
    <s v="Trailer"/>
    <n v="623"/>
    <n v="2019"/>
    <s v="ENSOL TANKER"/>
    <s v="Silver"/>
    <d v="2021-11-18T00:00:00"/>
    <x v="6"/>
    <s v="Manawatū-Whanganui"/>
    <s v="New Zealand"/>
    <s v="Trailer"/>
    <s v="Standard"/>
    <m/>
    <m/>
    <m/>
    <x v="1"/>
  </r>
  <r>
    <n v="124"/>
    <s v="Roadbike"/>
    <n v="561"/>
    <n v="2008"/>
    <s v="EX"/>
    <s v="Red"/>
    <d v="2021-11-21T00:00:00"/>
    <x v="0"/>
    <s v="Auckland"/>
    <s v="New Zealand"/>
    <s v="Kawasaki"/>
    <s v="Standard"/>
    <m/>
    <m/>
    <m/>
    <x v="1"/>
  </r>
  <r>
    <n v="125"/>
    <s v="Moped"/>
    <n v="585"/>
    <n v="2008"/>
    <s v="HYOSUNG SB49M"/>
    <s v="Red"/>
    <d v="2021-11-21T00:00:00"/>
    <x v="0"/>
    <s v="Auckland"/>
    <s v="New Zealand"/>
    <s v="Moped"/>
    <s v="Standard"/>
    <m/>
    <m/>
    <m/>
    <x v="1"/>
  </r>
  <r>
    <n v="126"/>
    <s v="Trailer"/>
    <n v="623"/>
    <n v="1996"/>
    <s v="BRIFORD"/>
    <s v="Grey"/>
    <d v="2021-11-22T00:00:00"/>
    <x v="3"/>
    <s v="Canterbury"/>
    <s v="New Zealand"/>
    <s v="Trailer"/>
    <s v="Standard"/>
    <m/>
    <m/>
    <m/>
    <x v="5"/>
  </r>
  <r>
    <n v="127"/>
    <s v="Boat Trailer"/>
    <n v="623"/>
    <n v="2000"/>
    <s v="REID"/>
    <s v="Silver"/>
    <d v="2021-11-22T00:00:00"/>
    <x v="0"/>
    <s v="Auckland"/>
    <s v="New Zealand"/>
    <s v="Trailer"/>
    <s v="Standard"/>
    <m/>
    <m/>
    <m/>
    <x v="5"/>
  </r>
  <r>
    <n v="128"/>
    <s v="Boat Trailer"/>
    <n v="549"/>
    <n v="1994"/>
    <s v="15X7"/>
    <s v="White"/>
    <d v="2021-11-22T00:00:00"/>
    <x v="3"/>
    <s v="Canterbury"/>
    <s v="New Zealand"/>
    <s v="Homebuilt"/>
    <s v="Standard"/>
    <m/>
    <m/>
    <m/>
    <x v="1"/>
  </r>
  <r>
    <n v="129"/>
    <s v="Trailer"/>
    <n v="623"/>
    <n v="1998"/>
    <s v="KEA"/>
    <s v="Grey"/>
    <d v="2021-11-22T00:00:00"/>
    <x v="10"/>
    <s v="Nelson"/>
    <s v="New Zealand"/>
    <s v="Trailer"/>
    <s v="Standard"/>
    <m/>
    <m/>
    <m/>
    <x v="5"/>
  </r>
  <r>
    <n v="130"/>
    <s v="Trailer"/>
    <n v="623"/>
    <n v="2019"/>
    <s v="ROADCHIEF"/>
    <s v="Grey"/>
    <d v="2021-11-22T00:00:00"/>
    <x v="7"/>
    <s v="Northland"/>
    <s v="New Zealand"/>
    <s v="Trailer"/>
    <s v="Standard"/>
    <m/>
    <m/>
    <m/>
    <x v="5"/>
  </r>
  <r>
    <n v="131"/>
    <s v="Roadbike"/>
    <n v="565"/>
    <n v="2002"/>
    <s v="EXC"/>
    <s v="Orange"/>
    <d v="2021-11-24T00:00:00"/>
    <x v="7"/>
    <s v="Northland"/>
    <s v="New Zealand"/>
    <s v="KTM"/>
    <s v="Standard"/>
    <m/>
    <m/>
    <m/>
    <x v="1"/>
  </r>
  <r>
    <n v="132"/>
    <s v="Trailer"/>
    <n v="623"/>
    <n v="2019"/>
    <s v="JOBMATE"/>
    <s v="Silver"/>
    <d v="2021-11-24T00:00:00"/>
    <x v="8"/>
    <s v="Bay of Plenty"/>
    <s v="New Zealand"/>
    <s v="Trailer"/>
    <s v="Standard"/>
    <m/>
    <m/>
    <m/>
    <x v="1"/>
  </r>
  <r>
    <n v="133"/>
    <s v="Trailer"/>
    <n v="623"/>
    <n v="2022"/>
    <s v="ENSOL TANKER"/>
    <s v="Silver"/>
    <d v="2021-11-25T00:00:00"/>
    <x v="6"/>
    <s v="Manawatū-Whanganui"/>
    <s v="New Zealand"/>
    <s v="Trailer"/>
    <s v="Standard"/>
    <m/>
    <m/>
    <m/>
    <x v="5"/>
  </r>
  <r>
    <n v="134"/>
    <s v="Trailer"/>
    <n v="623"/>
    <n v="2019"/>
    <s v="BRAKED TANDEM"/>
    <s v="Silver"/>
    <d v="2021-11-25T00:00:00"/>
    <x v="8"/>
    <s v="Bay of Plenty"/>
    <s v="New Zealand"/>
    <s v="Trailer"/>
    <s v="Standard"/>
    <m/>
    <m/>
    <m/>
    <x v="5"/>
  </r>
  <r>
    <n v="135"/>
    <s v="Trailer"/>
    <n v="623"/>
    <n v="1980"/>
    <s v="HARENG"/>
    <s v="Grey"/>
    <d v="2021-11-25T00:00:00"/>
    <x v="9"/>
    <s v="Waikato"/>
    <s v="New Zealand"/>
    <s v="Trailer"/>
    <s v="Standard"/>
    <m/>
    <m/>
    <m/>
    <x v="5"/>
  </r>
  <r>
    <n v="136"/>
    <s v="Trailer"/>
    <n v="623"/>
    <n v="2019"/>
    <s v="HOMEBUILT"/>
    <s v="Silver"/>
    <d v="2021-11-25T00:00:00"/>
    <x v="5"/>
    <s v="Otago"/>
    <s v="New Zealand"/>
    <s v="Trailer"/>
    <s v="Standard"/>
    <m/>
    <m/>
    <m/>
    <x v="5"/>
  </r>
  <r>
    <n v="137"/>
    <s v="Trailer"/>
    <n v="616"/>
    <n v="2019"/>
    <s v="DOMESTIC TRAILER"/>
    <s v="Silver"/>
    <d v="2021-11-26T00:00:00"/>
    <x v="0"/>
    <s v="Auckland"/>
    <s v="New Zealand"/>
    <s v="Titan"/>
    <s v="Standard"/>
    <m/>
    <m/>
    <m/>
    <x v="1"/>
  </r>
  <r>
    <n v="138"/>
    <s v="Trailer"/>
    <n v="623"/>
    <n v="1962"/>
    <s v="HOMEMADE"/>
    <s v="Green"/>
    <d v="2021-11-26T00:00:00"/>
    <x v="3"/>
    <s v="Canterbury"/>
    <s v="New Zealand"/>
    <s v="Trailer"/>
    <s v="Standard"/>
    <m/>
    <m/>
    <m/>
    <x v="1"/>
  </r>
  <r>
    <n v="139"/>
    <s v="Trailer"/>
    <n v="623"/>
    <n v="1997"/>
    <s v="SPACEE 2000"/>
    <s v="White"/>
    <d v="2021-11-27T00:00:00"/>
    <x v="11"/>
    <s v="Taranaki"/>
    <s v="New Zealand"/>
    <s v="Trailer"/>
    <s v="Standard"/>
    <m/>
    <m/>
    <m/>
    <x v="1"/>
  </r>
  <r>
    <n v="140"/>
    <s v="Trailer"/>
    <n v="514"/>
    <n v="2018"/>
    <s v="8X4 TANDEM TIPPER"/>
    <s v="Silver"/>
    <d v="2021-11-27T00:00:00"/>
    <x v="3"/>
    <s v="Canterbury"/>
    <s v="New Zealand"/>
    <s v="Briford"/>
    <s v="Standard"/>
    <m/>
    <m/>
    <m/>
    <x v="1"/>
  </r>
  <r>
    <n v="141"/>
    <s v="Trailer"/>
    <n v="538"/>
    <n v="2019"/>
    <s v="BRENT SMITH TRAILERS"/>
    <s v="Silver"/>
    <d v="2021-11-29T00:00:00"/>
    <x v="4"/>
    <s v="Wellington"/>
    <s v="New Zealand"/>
    <s v="Factory Built"/>
    <s v="Standard"/>
    <m/>
    <m/>
    <m/>
    <x v="1"/>
  </r>
  <r>
    <n v="142"/>
    <s v="Trailer"/>
    <n v="623"/>
    <n v="2019"/>
    <s v="TASMAN8X5TB"/>
    <s v="Silver"/>
    <d v="2021-11-30T00:00:00"/>
    <x v="10"/>
    <s v="Nelson"/>
    <s v="New Zealand"/>
    <s v="Trailer"/>
    <s v="Standard"/>
    <m/>
    <m/>
    <m/>
    <x v="2"/>
  </r>
  <r>
    <n v="143"/>
    <s v="Boat Trailer"/>
    <n v="623"/>
    <n v="2019"/>
    <s v="MAKZ"/>
    <s v="Silver"/>
    <d v="2021-11-30T00:00:00"/>
    <x v="4"/>
    <s v="Wellington"/>
    <s v="New Zealand"/>
    <s v="Trailer"/>
    <s v="Standard"/>
    <m/>
    <m/>
    <m/>
    <x v="2"/>
  </r>
  <r>
    <n v="144"/>
    <s v="Trailer"/>
    <n v="595"/>
    <n v="2019"/>
    <s v="ENCLOSED TRAILER"/>
    <s v="Silver"/>
    <d v="2021-11-30T00:00:00"/>
    <x v="0"/>
    <s v="Auckland"/>
    <s v="New Zealand"/>
    <s v="Pinto"/>
    <s v="Standard"/>
    <m/>
    <m/>
    <m/>
    <x v="1"/>
  </r>
  <r>
    <n v="145"/>
    <s v="Trailer"/>
    <n v="623"/>
    <n v="2019"/>
    <s v="ELITE 8X4"/>
    <s v="Silver"/>
    <d v="2021-12-10T00:00:00"/>
    <x v="3"/>
    <s v="Canterbury"/>
    <s v="New Zealand"/>
    <s v="Trailer"/>
    <s v="Standard"/>
    <m/>
    <m/>
    <m/>
    <x v="3"/>
  </r>
  <r>
    <n v="146"/>
    <s v="Trailer - Heavy"/>
    <n v="623"/>
    <n v="2019"/>
    <s v="TRANSPORTER"/>
    <s v="Silver"/>
    <d v="2021-12-10T00:00:00"/>
    <x v="1"/>
    <s v="Gisborne"/>
    <s v="New Zealand"/>
    <s v="Trailer"/>
    <s v="Standard"/>
    <m/>
    <m/>
    <m/>
    <x v="3"/>
  </r>
  <r>
    <n v="147"/>
    <s v="Trailer"/>
    <n v="623"/>
    <n v="2019"/>
    <s v="DOMESTIC"/>
    <s v="Grey"/>
    <d v="2021-12-10T00:00:00"/>
    <x v="0"/>
    <s v="Auckland"/>
    <s v="New Zealand"/>
    <s v="Trailer"/>
    <s v="Standard"/>
    <m/>
    <m/>
    <m/>
    <x v="3"/>
  </r>
  <r>
    <n v="148"/>
    <s v="Trailer"/>
    <n v="538"/>
    <n v="2015"/>
    <s v="DOMESTIC TRAILER"/>
    <s v="Silver"/>
    <d v="2021-12-10T00:00:00"/>
    <x v="7"/>
    <s v="Northland"/>
    <s v="New Zealand"/>
    <s v="Factory Built"/>
    <s v="Standard"/>
    <m/>
    <m/>
    <m/>
    <x v="1"/>
  </r>
  <r>
    <n v="149"/>
    <s v="Trailer - Heavy"/>
    <n v="514"/>
    <n v="2015"/>
    <s v="TRAILER 8X4"/>
    <s v="Silver"/>
    <d v="2021-12-10T00:00:00"/>
    <x v="0"/>
    <s v="Auckland"/>
    <s v="New Zealand"/>
    <s v="Briford"/>
    <s v="Standard"/>
    <m/>
    <m/>
    <m/>
    <x v="1"/>
  </r>
  <r>
    <n v="150"/>
    <s v="Caravan"/>
    <n v="519"/>
    <n v="2008"/>
    <s v="XPLORE 452"/>
    <s v="White"/>
    <d v="2021-12-11T00:00:00"/>
    <x v="8"/>
    <s v="Bay of Plenty"/>
    <s v="New Zealand"/>
    <s v="Caravan"/>
    <s v="Standard"/>
    <m/>
    <m/>
    <m/>
    <x v="1"/>
  </r>
  <r>
    <n v="151"/>
    <s v="Trailer"/>
    <n v="595"/>
    <n v="2015"/>
    <s v="BRAKED TANDEM"/>
    <s v="Silver"/>
    <d v="2021-12-11T00:00:00"/>
    <x v="9"/>
    <s v="Waikato"/>
    <s v="New Zealand"/>
    <s v="Pinto"/>
    <s v="Standard"/>
    <m/>
    <m/>
    <m/>
    <x v="1"/>
  </r>
  <r>
    <n v="152"/>
    <s v="Trailer"/>
    <n v="623"/>
    <n v="2015"/>
    <s v="HOBBS"/>
    <s v="Silver"/>
    <d v="2021-12-11T00:00:00"/>
    <x v="1"/>
    <s v="Gisborne"/>
    <s v="New Zealand"/>
    <s v="Trailer"/>
    <s v="Standard"/>
    <m/>
    <m/>
    <m/>
    <x v="2"/>
  </r>
  <r>
    <n v="153"/>
    <s v="Trailer"/>
    <n v="623"/>
    <n v="2015"/>
    <s v="WILPRO"/>
    <s v="Silver"/>
    <d v="2021-12-11T00:00:00"/>
    <x v="8"/>
    <s v="Bay of Plenty"/>
    <s v="New Zealand"/>
    <s v="Trailer"/>
    <s v="Standard"/>
    <m/>
    <m/>
    <m/>
    <x v="2"/>
  </r>
  <r>
    <n v="154"/>
    <s v="Trailer - Heavy"/>
    <n v="514"/>
    <n v="2015"/>
    <s v="TRAILER"/>
    <s v="Silver"/>
    <d v="2021-12-13T00:00:00"/>
    <x v="0"/>
    <s v="Auckland"/>
    <s v="New Zealand"/>
    <s v="Briford"/>
    <s v="Standard"/>
    <m/>
    <m/>
    <m/>
    <x v="3"/>
  </r>
  <r>
    <n v="155"/>
    <s v="Trailer - Heavy"/>
    <n v="514"/>
    <n v="2015"/>
    <s v="TRAILER"/>
    <s v="Silver"/>
    <d v="2021-12-13T00:00:00"/>
    <x v="0"/>
    <s v="Auckland"/>
    <s v="New Zealand"/>
    <s v="Briford"/>
    <s v="Standard"/>
    <m/>
    <m/>
    <m/>
    <x v="3"/>
  </r>
  <r>
    <n v="156"/>
    <s v="Trailer - Heavy"/>
    <n v="514"/>
    <n v="2015"/>
    <s v="OTHER COMMERCIAL TRA"/>
    <s v="Silver"/>
    <d v="2021-12-13T00:00:00"/>
    <x v="3"/>
    <s v="Canterbury"/>
    <s v="New Zealand"/>
    <s v="Briford"/>
    <s v="Standard"/>
    <m/>
    <m/>
    <m/>
    <x v="3"/>
  </r>
  <r>
    <n v="157"/>
    <s v="Trailer"/>
    <n v="623"/>
    <n v="2015"/>
    <s v="SINGLE AXLE 7X4"/>
    <s v="Silver"/>
    <d v="2021-12-13T00:00:00"/>
    <x v="3"/>
    <s v="Canterbury"/>
    <s v="New Zealand"/>
    <s v="Trailer"/>
    <s v="Standard"/>
    <m/>
    <m/>
    <m/>
    <x v="1"/>
  </r>
  <r>
    <n v="158"/>
    <s v="Caravan"/>
    <n v="606"/>
    <n v="2007"/>
    <s v="ALPINE 4T2A"/>
    <s v="White"/>
    <d v="2021-12-14T00:00:00"/>
    <x v="4"/>
    <s v="Wellington"/>
    <s v="New Zealand"/>
    <s v="Sprite"/>
    <s v="Standard"/>
    <m/>
    <m/>
    <m/>
    <x v="1"/>
  </r>
  <r>
    <n v="159"/>
    <s v="Trailer"/>
    <n v="623"/>
    <n v="2015"/>
    <s v="FACTORY BUILT"/>
    <s v="Silver"/>
    <d v="2021-12-14T00:00:00"/>
    <x v="2"/>
    <s v="Hawke's Bay"/>
    <s v="New Zealand"/>
    <s v="Trailer"/>
    <s v="Standard"/>
    <m/>
    <m/>
    <m/>
    <x v="2"/>
  </r>
  <r>
    <n v="160"/>
    <s v="Saloon"/>
    <n v="587"/>
    <n v="1989"/>
    <s v="SKYLINE"/>
    <s v="Blue"/>
    <d v="2021-12-14T00:00:00"/>
    <x v="4"/>
    <s v="Wellington"/>
    <s v="New Zealand"/>
    <s v="Nissan"/>
    <s v="Standard"/>
    <m/>
    <m/>
    <m/>
    <x v="1"/>
  </r>
  <r>
    <n v="161"/>
    <s v="Boat Trailer"/>
    <n v="623"/>
    <n v="2015"/>
    <s v="YAMAHA VXR"/>
    <s v="Silver"/>
    <d v="2021-12-14T00:00:00"/>
    <x v="3"/>
    <s v="Canterbury"/>
    <s v="New Zealand"/>
    <s v="Trailer"/>
    <s v="Standard"/>
    <m/>
    <m/>
    <m/>
    <x v="2"/>
  </r>
  <r>
    <n v="162"/>
    <s v="Trailer - Heavy"/>
    <n v="514"/>
    <n v="2015"/>
    <s v="TRAILER"/>
    <s v="Silver"/>
    <d v="2021-12-15T00:00:00"/>
    <x v="4"/>
    <s v="Wellington"/>
    <s v="New Zealand"/>
    <s v="Briford"/>
    <s v="Standard"/>
    <m/>
    <m/>
    <m/>
    <x v="1"/>
  </r>
  <r>
    <n v="163"/>
    <s v="Trailer"/>
    <n v="623"/>
    <n v="2015"/>
    <s v="ROADLINE"/>
    <s v="Silver"/>
    <d v="2021-12-15T00:00:00"/>
    <x v="7"/>
    <s v="Northland"/>
    <s v="New Zealand"/>
    <s v="Trailer"/>
    <s v="Standard"/>
    <m/>
    <m/>
    <m/>
    <x v="2"/>
  </r>
  <r>
    <n v="164"/>
    <s v="Trailer"/>
    <n v="623"/>
    <n v="2015"/>
    <s v="TRAYLA"/>
    <s v="Silver"/>
    <d v="2021-12-15T00:00:00"/>
    <x v="4"/>
    <s v="Wellington"/>
    <s v="New Zealand"/>
    <s v="Trailer"/>
    <s v="Standard"/>
    <m/>
    <m/>
    <m/>
    <x v="2"/>
  </r>
  <r>
    <n v="165"/>
    <s v="Trailer - Heavy"/>
    <n v="514"/>
    <n v="2015"/>
    <s v="TRAILER"/>
    <s v="Silver"/>
    <d v="2021-12-16T00:00:00"/>
    <x v="9"/>
    <s v="Waikato"/>
    <s v="New Zealand"/>
    <s v="Briford"/>
    <s v="Standard"/>
    <m/>
    <m/>
    <m/>
    <x v="1"/>
  </r>
  <r>
    <n v="166"/>
    <s v="Trailer - Heavy"/>
    <n v="514"/>
    <n v="2015"/>
    <s v="TRAILER"/>
    <s v="Silver"/>
    <d v="2021-12-17T00:00:00"/>
    <x v="0"/>
    <s v="Auckland"/>
    <s v="New Zealand"/>
    <s v="Briford"/>
    <s v="Standard"/>
    <m/>
    <m/>
    <m/>
    <x v="1"/>
  </r>
  <r>
    <n v="167"/>
    <s v="Caravan"/>
    <n v="525"/>
    <n v="1972"/>
    <s v="HALF VISTA"/>
    <s v="Red"/>
    <d v="2021-12-17T00:00:00"/>
    <x v="8"/>
    <s v="Bay of Plenty"/>
    <s v="New Zealand"/>
    <s v="Classic"/>
    <s v="Standard"/>
    <m/>
    <m/>
    <m/>
    <x v="1"/>
  </r>
  <r>
    <n v="168"/>
    <s v="Trailer - Heavy"/>
    <n v="623"/>
    <n v="2015"/>
    <s v="CANTERBURY FABRICAT"/>
    <s v="White"/>
    <d v="2021-12-17T00:00:00"/>
    <x v="11"/>
    <s v="Taranaki"/>
    <s v="New Zealand"/>
    <s v="Trailer"/>
    <s v="Standard"/>
    <m/>
    <m/>
    <m/>
    <x v="2"/>
  </r>
  <r>
    <n v="169"/>
    <s v="Trailer"/>
    <n v="623"/>
    <n v="2015"/>
    <s v="4.5M FLATDECK"/>
    <s v="Silver"/>
    <d v="2021-12-17T00:00:00"/>
    <x v="9"/>
    <s v="Waikato"/>
    <s v="New Zealand"/>
    <s v="Trailer"/>
    <s v="Standard"/>
    <m/>
    <m/>
    <m/>
    <x v="2"/>
  </r>
  <r>
    <n v="170"/>
    <s v="Trail Bike"/>
    <n v="565"/>
    <n v="2020"/>
    <s v="SFX"/>
    <s v="Orange"/>
    <d v="2021-12-18T00:00:00"/>
    <x v="3"/>
    <s v="Canterbury"/>
    <s v="New Zealand"/>
    <s v="KTM"/>
    <s v="Standard"/>
    <m/>
    <m/>
    <m/>
    <x v="1"/>
  </r>
  <r>
    <n v="171"/>
    <s v="Trailer"/>
    <n v="623"/>
    <n v="2016"/>
    <s v="ELITE 8X4"/>
    <s v="Silver"/>
    <d v="2021-12-19T00:00:00"/>
    <x v="3"/>
    <s v="Canterbury"/>
    <s v="New Zealand"/>
    <s v="Trailer"/>
    <s v="Standard"/>
    <m/>
    <m/>
    <m/>
    <x v="5"/>
  </r>
  <r>
    <n v="172"/>
    <s v="Trailer"/>
    <n v="623"/>
    <n v="2019"/>
    <s v="ROADCHIEF 8X5"/>
    <s v="Silver"/>
    <d v="2021-12-19T00:00:00"/>
    <x v="5"/>
    <s v="Otago"/>
    <s v="New Zealand"/>
    <s v="Trailer"/>
    <s v="Standard"/>
    <m/>
    <m/>
    <m/>
    <x v="5"/>
  </r>
  <r>
    <n v="173"/>
    <s v="Trailer"/>
    <n v="623"/>
    <n v="1998"/>
    <s v="LOCAL"/>
    <s v="Silver"/>
    <d v="2021-12-19T00:00:00"/>
    <x v="11"/>
    <s v="Taranaki"/>
    <s v="New Zealand"/>
    <s v="Trailer"/>
    <s v="Standard"/>
    <m/>
    <m/>
    <m/>
    <x v="5"/>
  </r>
  <r>
    <n v="174"/>
    <s v="Boat Trailer"/>
    <n v="623"/>
    <n v="2012"/>
    <s v="BOAT"/>
    <s v="Silver"/>
    <d v="2021-12-19T00:00:00"/>
    <x v="0"/>
    <s v="Auckland"/>
    <s v="New Zealand"/>
    <s v="Trailer"/>
    <s v="Standard"/>
    <m/>
    <m/>
    <m/>
    <x v="5"/>
  </r>
  <r>
    <n v="175"/>
    <s v="Trailer - Heavy"/>
    <n v="623"/>
    <n v="2019"/>
    <s v="MM INDUSTRIES"/>
    <s v="Silver"/>
    <d v="2021-12-20T00:00:00"/>
    <x v="0"/>
    <s v="Auckland"/>
    <s v="New Zealand"/>
    <s v="Trailer"/>
    <s v="Standard"/>
    <m/>
    <m/>
    <m/>
    <x v="1"/>
  </r>
  <r>
    <n v="176"/>
    <s v="Trailer"/>
    <n v="562"/>
    <n v="2019"/>
    <s v="KC85E"/>
    <s v="Silver"/>
    <d v="2021-12-21T00:00:00"/>
    <x v="8"/>
    <s v="Bay of Plenty"/>
    <s v="New Zealand"/>
    <s v="Kea"/>
    <s v="Standard"/>
    <m/>
    <m/>
    <m/>
    <x v="2"/>
  </r>
  <r>
    <n v="177"/>
    <s v="Trailer"/>
    <n v="562"/>
    <n v="2019"/>
    <s v="KC106AB"/>
    <s v="Silver"/>
    <d v="2021-12-21T00:00:00"/>
    <x v="9"/>
    <s v="Waikato"/>
    <s v="New Zealand"/>
    <s v="Kea"/>
    <s v="Standard"/>
    <m/>
    <m/>
    <m/>
    <x v="2"/>
  </r>
  <r>
    <n v="178"/>
    <s v="Boat Trailer"/>
    <n v="623"/>
    <n v="2019"/>
    <s v="BOAT TRAILER"/>
    <s v="Silver"/>
    <d v="2021-12-21T00:00:00"/>
    <x v="0"/>
    <s v="Auckland"/>
    <s v="New Zealand"/>
    <s v="Trailer"/>
    <s v="Standard"/>
    <m/>
    <m/>
    <m/>
    <x v="1"/>
  </r>
  <r>
    <n v="179"/>
    <s v="Trailer - Heavy"/>
    <n v="562"/>
    <n v="2019"/>
    <s v="CAGE"/>
    <s v="Silver"/>
    <d v="2021-12-22T00:00:00"/>
    <x v="9"/>
    <s v="Waikato"/>
    <s v="New Zealand"/>
    <s v="Kea"/>
    <s v="Standard"/>
    <m/>
    <m/>
    <m/>
    <x v="1"/>
  </r>
  <r>
    <n v="180"/>
    <s v="Moped"/>
    <n v="629"/>
    <n v="1963"/>
    <s v="SPORTIQUE"/>
    <s v="Cream"/>
    <d v="2021-12-23T00:00:00"/>
    <x v="5"/>
    <s v="Otago"/>
    <s v="New Zealand"/>
    <s v="Vespa"/>
    <s v="Standard"/>
    <m/>
    <m/>
    <m/>
    <x v="1"/>
  </r>
  <r>
    <n v="181"/>
    <s v="Trailer"/>
    <n v="514"/>
    <n v="2019"/>
    <s v="5X4"/>
    <s v="Silver"/>
    <d v="2021-12-23T00:00:00"/>
    <x v="3"/>
    <s v="Canterbury"/>
    <s v="New Zealand"/>
    <s v="Briford"/>
    <s v="Standard"/>
    <m/>
    <m/>
    <m/>
    <x v="1"/>
  </r>
  <r>
    <n v="182"/>
    <s v="Trailer"/>
    <n v="623"/>
    <n v="2019"/>
    <s v="CTDIG"/>
    <s v="Silver"/>
    <d v="2021-12-25T00:00:00"/>
    <x v="8"/>
    <s v="Bay of Plenty"/>
    <s v="New Zealand"/>
    <s v="Trailer"/>
    <s v="Standard"/>
    <m/>
    <m/>
    <m/>
    <x v="1"/>
  </r>
  <r>
    <n v="183"/>
    <s v="Roadbike"/>
    <n v="611"/>
    <n v="2005"/>
    <s v="DR-Z400"/>
    <s v="Yellow"/>
    <d v="2021-12-25T00:00:00"/>
    <x v="3"/>
    <s v="Canterbury"/>
    <s v="New Zealand"/>
    <s v="Suzuki"/>
    <s v="Standard"/>
    <m/>
    <m/>
    <m/>
    <x v="1"/>
  </r>
  <r>
    <n v="184"/>
    <s v="Trailer"/>
    <n v="599"/>
    <n v="2019"/>
    <s v="DOMESTIC TRAILER"/>
    <s v="Grey"/>
    <d v="2021-12-25T00:00:00"/>
    <x v="7"/>
    <s v="Northland"/>
    <s v="New Zealand"/>
    <s v="Rhino"/>
    <s v="Standard"/>
    <m/>
    <m/>
    <m/>
    <x v="1"/>
  </r>
  <r>
    <n v="185"/>
    <s v="Trailer"/>
    <n v="549"/>
    <n v="1990"/>
    <s v="TRAILER"/>
    <s v="Blue"/>
    <d v="2021-12-26T00:00:00"/>
    <x v="4"/>
    <s v="Wellington"/>
    <s v="New Zealand"/>
    <s v="Homebuilt"/>
    <s v="Standard"/>
    <m/>
    <m/>
    <m/>
    <x v="1"/>
  </r>
  <r>
    <n v="186"/>
    <s v="Trailer"/>
    <n v="623"/>
    <n v="1981"/>
    <s v="HOMEMADE"/>
    <s v="Grey"/>
    <d v="2021-12-26T00:00:00"/>
    <x v="0"/>
    <s v="Auckland"/>
    <s v="New Zealand"/>
    <s v="Trailer"/>
    <s v="Standard"/>
    <m/>
    <m/>
    <m/>
    <x v="1"/>
  </r>
  <r>
    <n v="187"/>
    <s v="Trailer"/>
    <n v="623"/>
    <n v="2019"/>
    <s v="TRAYLA"/>
    <s v="Silver"/>
    <d v="2021-12-27T00:00:00"/>
    <x v="2"/>
    <s v="Hawke's Bay"/>
    <s v="New Zealand"/>
    <s v="Trailer"/>
    <s v="Standard"/>
    <m/>
    <m/>
    <m/>
    <x v="1"/>
  </r>
  <r>
    <n v="188"/>
    <s v="Boat Trailer"/>
    <n v="513"/>
    <n v="2019"/>
    <s v="357J"/>
    <s v="Silver"/>
    <d v="2021-12-27T00:00:00"/>
    <x v="0"/>
    <s v="Auckland"/>
    <s v="New Zealand"/>
    <s v="Bricon"/>
    <s v="Standard"/>
    <m/>
    <m/>
    <m/>
    <x v="1"/>
  </r>
  <r>
    <n v="189"/>
    <s v="Trailer"/>
    <n v="623"/>
    <n v="2019"/>
    <s v="SMASH PALACE"/>
    <s v="Silver"/>
    <d v="2021-12-28T00:00:00"/>
    <x v="3"/>
    <s v="Canterbury"/>
    <s v="New Zealand"/>
    <s v="Trailer"/>
    <s v="Standard"/>
    <m/>
    <m/>
    <m/>
    <x v="2"/>
  </r>
  <r>
    <n v="190"/>
    <s v="Trailer"/>
    <n v="623"/>
    <n v="1996"/>
    <s v="BRIFORD 5X4 SHUTTLE"/>
    <s v="White"/>
    <d v="2021-12-28T00:00:00"/>
    <x v="3"/>
    <s v="Canterbury"/>
    <s v="New Zealand"/>
    <s v="Trailer"/>
    <s v="Standard"/>
    <m/>
    <m/>
    <m/>
    <x v="2"/>
  </r>
  <r>
    <n v="191"/>
    <s v="Trailer"/>
    <n v="623"/>
    <n v="2019"/>
    <s v="DIAMOND"/>
    <s v="Silver"/>
    <d v="2021-12-29T00:00:00"/>
    <x v="2"/>
    <s v="Hawke's Bay"/>
    <s v="New Zealand"/>
    <s v="Trailer"/>
    <s v="Standard"/>
    <m/>
    <m/>
    <m/>
    <x v="1"/>
  </r>
  <r>
    <n v="192"/>
    <s v="Trailer"/>
    <n v="562"/>
    <n v="2019"/>
    <s v="K844XA"/>
    <s v="Silver"/>
    <d v="2021-12-29T00:00:00"/>
    <x v="9"/>
    <s v="Waikato"/>
    <s v="New Zealand"/>
    <s v="Kea"/>
    <s v="Standard"/>
    <m/>
    <m/>
    <m/>
    <x v="1"/>
  </r>
  <r>
    <n v="193"/>
    <s v="Trailer"/>
    <n v="623"/>
    <n v="2019"/>
    <s v="TUFF"/>
    <s v="Silver"/>
    <d v="2021-12-30T00:00:00"/>
    <x v="0"/>
    <s v="Auckland"/>
    <s v="New Zealand"/>
    <s v="Trailer"/>
    <s v="Standard"/>
    <m/>
    <m/>
    <m/>
    <x v="2"/>
  </r>
  <r>
    <n v="194"/>
    <s v="Caravan"/>
    <n v="623"/>
    <n v="2006"/>
    <s v="DMW"/>
    <s v="White"/>
    <d v="2021-12-30T00:00:00"/>
    <x v="0"/>
    <s v="Auckland"/>
    <s v="New Zealand"/>
    <s v="Trailer"/>
    <s v="Standard"/>
    <m/>
    <m/>
    <m/>
    <x v="2"/>
  </r>
  <r>
    <n v="195"/>
    <s v="Trailer - Heavy"/>
    <n v="514"/>
    <n v="2015"/>
    <s v="TRAILER"/>
    <s v="Silver"/>
    <d v="2021-12-30T00:00:00"/>
    <x v="0"/>
    <s v="Auckland"/>
    <s v="New Zealand"/>
    <s v="Briford"/>
    <s v="Standard"/>
    <m/>
    <m/>
    <m/>
    <x v="1"/>
  </r>
  <r>
    <n v="196"/>
    <s v="Trailer"/>
    <n v="623"/>
    <n v="1979"/>
    <s v="HOMEMADE"/>
    <s v="Green"/>
    <d v="2021-12-31T00:00:00"/>
    <x v="3"/>
    <s v="Canterbury"/>
    <s v="New Zealand"/>
    <s v="Trailer"/>
    <s v="Standard"/>
    <m/>
    <m/>
    <m/>
    <x v="6"/>
  </r>
  <r>
    <n v="197"/>
    <s v="Trailer - Heavy"/>
    <n v="623"/>
    <n v="2019"/>
    <s v="CABLE DRUM"/>
    <s v="Silver"/>
    <d v="2021-12-31T00:00:00"/>
    <x v="10"/>
    <s v="Nelson"/>
    <s v="New Zealand"/>
    <s v="Trailer"/>
    <s v="Standard"/>
    <m/>
    <m/>
    <m/>
    <x v="6"/>
  </r>
  <r>
    <n v="198"/>
    <s v="Trailer"/>
    <n v="623"/>
    <n v="1999"/>
    <s v="LOCAL"/>
    <s v="Silver"/>
    <d v="2021-12-31T00:00:00"/>
    <x v="0"/>
    <s v="Auckland"/>
    <s v="New Zealand"/>
    <s v="Trailer"/>
    <s v="Standard"/>
    <m/>
    <m/>
    <m/>
    <x v="6"/>
  </r>
  <r>
    <n v="199"/>
    <s v="Trailer"/>
    <n v="623"/>
    <n v="1998"/>
    <s v="KING"/>
    <s v="Silver"/>
    <d v="2021-12-31T00:00:00"/>
    <x v="2"/>
    <s v="Hawke's Bay"/>
    <s v="New Zealand"/>
    <s v="Trailer"/>
    <s v="Standard"/>
    <m/>
    <m/>
    <m/>
    <x v="6"/>
  </r>
  <r>
    <n v="200"/>
    <s v="Trailer"/>
    <n v="623"/>
    <n v="2001"/>
    <s v="HOME BUILT"/>
    <s v="Grey"/>
    <d v="2021-12-31T00:00:00"/>
    <x v="5"/>
    <s v="Otago"/>
    <s v="New Zealand"/>
    <s v="Trailer"/>
    <s v="Standard"/>
    <m/>
    <m/>
    <m/>
    <x v="6"/>
  </r>
  <r>
    <n v="201"/>
    <s v="Trailer - Heavy"/>
    <n v="623"/>
    <n v="2019"/>
    <s v="IFOR WILLIAMS"/>
    <s v="Silver"/>
    <d v="2021-12-31T00:00:00"/>
    <x v="7"/>
    <s v="Northland"/>
    <s v="New Zealand"/>
    <s v="Trailer"/>
    <s v="Standard"/>
    <m/>
    <m/>
    <m/>
    <x v="6"/>
  </r>
  <r>
    <n v="202"/>
    <s v="Trailer"/>
    <n v="623"/>
    <n v="1977"/>
    <s v="LOCAL"/>
    <s v="Orange"/>
    <d v="2021-12-31T00:00:00"/>
    <x v="8"/>
    <s v="Bay of Plenty"/>
    <s v="New Zealand"/>
    <s v="Trailer"/>
    <s v="Standard"/>
    <m/>
    <m/>
    <m/>
    <x v="6"/>
  </r>
  <r>
    <n v="203"/>
    <s v="Roadbike"/>
    <n v="625"/>
    <n v="2004"/>
    <s v="SPEEDTRIPLE"/>
    <s v="Red"/>
    <d v="2022-01-01T00:00:00"/>
    <x v="6"/>
    <s v="Manawatū-Whanganui"/>
    <s v="New Zealand"/>
    <s v="Triumph"/>
    <s v="Standard"/>
    <m/>
    <m/>
    <m/>
    <x v="1"/>
  </r>
  <r>
    <n v="204"/>
    <s v="Trailer"/>
    <n v="623"/>
    <n v="2019"/>
    <s v="DOLY"/>
    <s v="Grey"/>
    <d v="2022-01-01T00:00:00"/>
    <x v="2"/>
    <s v="Hawke's Bay"/>
    <s v="New Zealand"/>
    <s v="Trailer"/>
    <s v="Standard"/>
    <m/>
    <m/>
    <m/>
    <x v="2"/>
  </r>
  <r>
    <n v="205"/>
    <s v="Trailer"/>
    <n v="623"/>
    <n v="2019"/>
    <s v="SINGLE AXLE"/>
    <s v="Grey"/>
    <d v="2022-01-01T00:00:00"/>
    <x v="3"/>
    <s v="Canterbury"/>
    <s v="New Zealand"/>
    <s v="Trailer"/>
    <s v="Standard"/>
    <m/>
    <m/>
    <m/>
    <x v="2"/>
  </r>
  <r>
    <n v="206"/>
    <s v="Roadbike"/>
    <n v="611"/>
    <n v="2005"/>
    <s v="GN250"/>
    <s v="Black"/>
    <d v="2022-01-02T00:00:00"/>
    <x v="0"/>
    <s v="Auckland"/>
    <s v="New Zealand"/>
    <s v="Suzuki"/>
    <s v="Standard"/>
    <m/>
    <m/>
    <m/>
    <x v="1"/>
  </r>
  <r>
    <n v="207"/>
    <s v="Roadbike"/>
    <n v="550"/>
    <n v="1985"/>
    <s v="XL250"/>
    <s v="White"/>
    <d v="2022-01-02T00:00:00"/>
    <x v="4"/>
    <s v="Wellington"/>
    <s v="New Zealand"/>
    <s v="Honda"/>
    <s v="Standard"/>
    <m/>
    <m/>
    <m/>
    <x v="1"/>
  </r>
  <r>
    <n v="208"/>
    <s v="Trailer"/>
    <n v="623"/>
    <n v="2019"/>
    <s v="ROOFLINE"/>
    <s v="Grey"/>
    <d v="2022-01-02T00:00:00"/>
    <x v="10"/>
    <s v="Nelson"/>
    <s v="New Zealand"/>
    <s v="Trailer"/>
    <s v="Standard"/>
    <m/>
    <m/>
    <m/>
    <x v="1"/>
  </r>
  <r>
    <n v="209"/>
    <s v="Trailer"/>
    <n v="623"/>
    <n v="2019"/>
    <s v="T D ENGINEERING"/>
    <s v="Silver"/>
    <d v="2022-01-03T00:00:00"/>
    <x v="11"/>
    <s v="Taranaki"/>
    <s v="New Zealand"/>
    <s v="Trailer"/>
    <s v="Standard"/>
    <m/>
    <m/>
    <m/>
    <x v="3"/>
  </r>
  <r>
    <n v="210"/>
    <s v="Trailer"/>
    <n v="623"/>
    <n v="2015"/>
    <s v="TRADETESTED 7 X 4"/>
    <s v="Silver"/>
    <d v="2022-01-03T00:00:00"/>
    <x v="0"/>
    <s v="Auckland"/>
    <s v="New Zealand"/>
    <s v="Trailer"/>
    <s v="Standard"/>
    <m/>
    <m/>
    <m/>
    <x v="3"/>
  </r>
  <r>
    <n v="211"/>
    <s v="Trailer"/>
    <n v="623"/>
    <n v="2015"/>
    <s v="VULCAN"/>
    <s v="Silver"/>
    <d v="2022-01-03T00:00:00"/>
    <x v="0"/>
    <s v="Auckland"/>
    <s v="New Zealand"/>
    <s v="Trailer"/>
    <s v="Standard"/>
    <m/>
    <m/>
    <m/>
    <x v="3"/>
  </r>
  <r>
    <n v="212"/>
    <s v="Trailer"/>
    <n v="623"/>
    <n v="2016"/>
    <s v="HOME MADE"/>
    <s v="Grey"/>
    <d v="2022-01-04T00:00:00"/>
    <x v="4"/>
    <s v="Wellington"/>
    <s v="New Zealand"/>
    <s v="Trailer"/>
    <s v="Standard"/>
    <m/>
    <m/>
    <m/>
    <x v="1"/>
  </r>
  <r>
    <n v="213"/>
    <s v="Caravan"/>
    <n v="504"/>
    <n v="1976"/>
    <s v="CARAVAN"/>
    <s v="White"/>
    <d v="2022-01-04T00:00:00"/>
    <x v="0"/>
    <s v="Auckland"/>
    <s v="New Zealand"/>
    <s v="Anglo"/>
    <s v="Standard"/>
    <m/>
    <m/>
    <m/>
    <x v="1"/>
  </r>
  <r>
    <n v="214"/>
    <s v="Trailer - Heavy"/>
    <n v="597"/>
    <n v="2015"/>
    <s v="TRAILER"/>
    <s v="Silver"/>
    <d v="2022-01-04T00:00:00"/>
    <x v="0"/>
    <s v="Auckland"/>
    <s v="New Zealand"/>
    <s v="Reid"/>
    <s v="Standard"/>
    <m/>
    <m/>
    <m/>
    <x v="1"/>
  </r>
  <r>
    <n v="215"/>
    <s v="Trailer"/>
    <n v="572"/>
    <n v="2015"/>
    <s v="DOMESTIC TRAILER"/>
    <s v="Silver"/>
    <d v="2022-01-13T00:00:00"/>
    <x v="5"/>
    <s v="Otago"/>
    <s v="New Zealand"/>
    <s v="Lochiel"/>
    <s v="Standard"/>
    <m/>
    <m/>
    <m/>
    <x v="1"/>
  </r>
  <r>
    <n v="216"/>
    <s v="Trailer"/>
    <n v="514"/>
    <n v="2008"/>
    <s v="TRAILER 8X4"/>
    <s v="Silver"/>
    <d v="2022-01-13T00:00:00"/>
    <x v="0"/>
    <s v="Auckland"/>
    <s v="New Zealand"/>
    <s v="Briford"/>
    <s v="Standard"/>
    <m/>
    <m/>
    <m/>
    <x v="1"/>
  </r>
  <r>
    <n v="217"/>
    <s v="Trailer - Heavy"/>
    <n v="623"/>
    <n v="1985"/>
    <s v="SLOAN"/>
    <s v="Blue"/>
    <d v="2022-01-13T00:00:00"/>
    <x v="9"/>
    <s v="Waikato"/>
    <s v="New Zealand"/>
    <s v="Trailer"/>
    <s v="Standard"/>
    <m/>
    <m/>
    <m/>
    <x v="3"/>
  </r>
  <r>
    <n v="218"/>
    <s v="Trailer"/>
    <n v="616"/>
    <n v="2015"/>
    <s v="7X4"/>
    <s v="Silver"/>
    <d v="2022-01-13T00:00:00"/>
    <x v="0"/>
    <s v="Auckland"/>
    <s v="New Zealand"/>
    <s v="Titan"/>
    <s v="Standard"/>
    <m/>
    <m/>
    <m/>
    <x v="1"/>
  </r>
  <r>
    <n v="219"/>
    <s v="Trailer"/>
    <n v="623"/>
    <n v="2002"/>
    <s v="HOMEBUILT"/>
    <s v="Grey"/>
    <d v="2022-01-13T00:00:00"/>
    <x v="3"/>
    <s v="Canterbury"/>
    <s v="New Zealand"/>
    <s v="Trailer"/>
    <s v="Standard"/>
    <m/>
    <m/>
    <m/>
    <x v="3"/>
  </r>
  <r>
    <n v="220"/>
    <s v="Trailer"/>
    <n v="623"/>
    <n v="2016"/>
    <s v="DOMESTIC"/>
    <s v="Silver"/>
    <d v="2022-01-13T00:00:00"/>
    <x v="7"/>
    <s v="Northland"/>
    <s v="New Zealand"/>
    <s v="Trailer"/>
    <s v="Standard"/>
    <m/>
    <m/>
    <m/>
    <x v="3"/>
  </r>
  <r>
    <n v="221"/>
    <s v="Boat Trailer"/>
    <n v="623"/>
    <n v="2000"/>
    <s v="JETSKI"/>
    <s v="Black"/>
    <d v="2022-01-14T00:00:00"/>
    <x v="9"/>
    <s v="Waikato"/>
    <s v="New Zealand"/>
    <s v="Trailer"/>
    <s v="Standard"/>
    <m/>
    <m/>
    <m/>
    <x v="5"/>
  </r>
  <r>
    <n v="222"/>
    <s v="Trailer"/>
    <n v="623"/>
    <n v="2016"/>
    <s v="TANDEM"/>
    <s v="Silver"/>
    <d v="2022-01-14T00:00:00"/>
    <x v="2"/>
    <s v="Hawke's Bay"/>
    <s v="New Zealand"/>
    <s v="Trailer"/>
    <s v="Standard"/>
    <m/>
    <m/>
    <m/>
    <x v="5"/>
  </r>
  <r>
    <n v="223"/>
    <s v="Trailer - Heavy"/>
    <n v="623"/>
    <n v="2016"/>
    <s v="FURN"/>
    <s v="White"/>
    <d v="2022-01-14T00:00:00"/>
    <x v="8"/>
    <s v="Bay of Plenty"/>
    <s v="New Zealand"/>
    <s v="Trailer"/>
    <s v="Standard"/>
    <m/>
    <m/>
    <m/>
    <x v="5"/>
  </r>
  <r>
    <n v="224"/>
    <s v="Trailer"/>
    <n v="572"/>
    <n v="2016"/>
    <s v="3X2 PLATFORM"/>
    <s v="Silver"/>
    <d v="2022-01-14T00:00:00"/>
    <x v="5"/>
    <s v="Otago"/>
    <s v="New Zealand"/>
    <s v="Lochiel"/>
    <s v="Standard"/>
    <m/>
    <m/>
    <m/>
    <x v="1"/>
  </r>
  <r>
    <n v="225"/>
    <s v="Trailer"/>
    <n v="623"/>
    <n v="2019"/>
    <s v="HOMEBUILT"/>
    <s v="Silver"/>
    <d v="2022-01-14T00:00:00"/>
    <x v="6"/>
    <s v="Manawatū-Whanganui"/>
    <s v="New Zealand"/>
    <s v="Trailer"/>
    <s v="Standard"/>
    <m/>
    <m/>
    <m/>
    <x v="5"/>
  </r>
  <r>
    <n v="226"/>
    <s v="Trailer"/>
    <n v="623"/>
    <n v="2019"/>
    <s v="GORILLA"/>
    <s v="Silver"/>
    <d v="2022-01-16T00:00:00"/>
    <x v="3"/>
    <s v="Canterbury"/>
    <s v="New Zealand"/>
    <s v="Trailer"/>
    <s v="Standard"/>
    <m/>
    <m/>
    <m/>
    <x v="1"/>
  </r>
  <r>
    <n v="227"/>
    <s v="Roadbike"/>
    <n v="611"/>
    <n v="2007"/>
    <s v="UZ"/>
    <s v="Grey"/>
    <d v="2022-01-16T00:00:00"/>
    <x v="0"/>
    <s v="Auckland"/>
    <s v="New Zealand"/>
    <s v="Suzuki"/>
    <s v="Standard"/>
    <m/>
    <m/>
    <m/>
    <x v="1"/>
  </r>
  <r>
    <n v="228"/>
    <s v="Trailer"/>
    <n v="549"/>
    <n v="1990"/>
    <s v="TRAILER"/>
    <s v="Grey"/>
    <d v="2022-01-16T00:00:00"/>
    <x v="3"/>
    <s v="Canterbury"/>
    <s v="New Zealand"/>
    <s v="Homebuilt"/>
    <s v="Standard"/>
    <m/>
    <m/>
    <m/>
    <x v="1"/>
  </r>
  <r>
    <n v="229"/>
    <s v="Caravan"/>
    <n v="525"/>
    <n v="1979"/>
    <s v="DIPLOMAT"/>
    <s v="Blue"/>
    <d v="2022-01-17T00:00:00"/>
    <x v="6"/>
    <s v="Manawatū-Whanganui"/>
    <s v="New Zealand"/>
    <s v="Classic"/>
    <s v="Standard"/>
    <m/>
    <m/>
    <m/>
    <x v="1"/>
  </r>
  <r>
    <n v="230"/>
    <s v="Trailer - Heavy"/>
    <n v="623"/>
    <n v="1976"/>
    <s v="LOCAL"/>
    <s v="Silver"/>
    <d v="2022-01-17T00:00:00"/>
    <x v="6"/>
    <s v="Manawatū-Whanganui"/>
    <s v="New Zealand"/>
    <s v="Trailer"/>
    <s v="Standard"/>
    <m/>
    <m/>
    <m/>
    <x v="1"/>
  </r>
  <r>
    <n v="231"/>
    <s v="Trailer"/>
    <n v="549"/>
    <n v="1987"/>
    <s v="TRAILER"/>
    <s v="Red"/>
    <d v="2022-01-17T00:00:00"/>
    <x v="5"/>
    <s v="Otago"/>
    <s v="New Zealand"/>
    <s v="Homebuilt"/>
    <s v="Standard"/>
    <m/>
    <m/>
    <m/>
    <x v="1"/>
  </r>
  <r>
    <n v="232"/>
    <s v="Trailer"/>
    <n v="616"/>
    <n v="2019"/>
    <s v="DOMESTIC TRAILER"/>
    <s v="Silver"/>
    <d v="2022-01-17T00:00:00"/>
    <x v="0"/>
    <s v="Auckland"/>
    <s v="New Zealand"/>
    <s v="Titan"/>
    <s v="Standard"/>
    <m/>
    <m/>
    <m/>
    <x v="1"/>
  </r>
  <r>
    <n v="233"/>
    <s v="Trailer"/>
    <n v="623"/>
    <n v="2019"/>
    <s v="HOMEMADE"/>
    <s v="Silver"/>
    <d v="2022-01-18T00:00:00"/>
    <x v="6"/>
    <s v="Manawatū-Whanganui"/>
    <s v="New Zealand"/>
    <s v="Trailer"/>
    <s v="Standard"/>
    <m/>
    <m/>
    <m/>
    <x v="2"/>
  </r>
  <r>
    <n v="234"/>
    <s v="Moped"/>
    <n v="594"/>
    <n v="1998"/>
    <s v="MOTORCYCLE"/>
    <s v="Blue"/>
    <d v="2022-01-18T00:00:00"/>
    <x v="0"/>
    <s v="Auckland"/>
    <s v="New Zealand"/>
    <s v="Piaggio"/>
    <s v="Standard"/>
    <m/>
    <m/>
    <m/>
    <x v="1"/>
  </r>
  <r>
    <n v="235"/>
    <s v="Roadbike"/>
    <n v="611"/>
    <n v="2003"/>
    <s v="GSX250"/>
    <s v="Silver"/>
    <d v="2022-01-18T00:00:00"/>
    <x v="8"/>
    <s v="Bay of Plenty"/>
    <s v="New Zealand"/>
    <s v="Suzuki"/>
    <s v="Standard"/>
    <m/>
    <m/>
    <m/>
    <x v="2"/>
  </r>
  <r>
    <n v="236"/>
    <s v="Roadbike"/>
    <n v="611"/>
    <n v="2009"/>
    <s v="VL800"/>
    <s v="Black"/>
    <d v="2022-01-18T00:00:00"/>
    <x v="0"/>
    <s v="Auckland"/>
    <s v="New Zealand"/>
    <s v="Suzuki"/>
    <s v="Standard"/>
    <m/>
    <m/>
    <m/>
    <x v="2"/>
  </r>
  <r>
    <n v="237"/>
    <s v="Trailer"/>
    <n v="623"/>
    <n v="2002"/>
    <s v="DOMESTIC TRAILER"/>
    <s v="Grey"/>
    <d v="2022-01-18T00:00:00"/>
    <x v="0"/>
    <s v="Auckland"/>
    <s v="New Zealand"/>
    <s v="Trailer"/>
    <s v="Standard"/>
    <m/>
    <m/>
    <m/>
    <x v="2"/>
  </r>
  <r>
    <n v="238"/>
    <s v="Trailer"/>
    <n v="514"/>
    <n v="2019"/>
    <s v="8X5 TANDEM"/>
    <s v="Silver"/>
    <d v="2022-01-19T00:00:00"/>
    <x v="3"/>
    <s v="Canterbury"/>
    <s v="New Zealand"/>
    <s v="Briford"/>
    <s v="Standard"/>
    <m/>
    <m/>
    <m/>
    <x v="1"/>
  </r>
  <r>
    <n v="239"/>
    <s v="Trailer"/>
    <n v="623"/>
    <n v="2016"/>
    <s v="KEA"/>
    <s v="Silver"/>
    <d v="2022-01-19T00:00:00"/>
    <x v="0"/>
    <s v="Auckland"/>
    <s v="New Zealand"/>
    <s v="Trailer"/>
    <s v="Standard"/>
    <m/>
    <m/>
    <m/>
    <x v="2"/>
  </r>
  <r>
    <n v="240"/>
    <s v="Trailer"/>
    <n v="623"/>
    <n v="2019"/>
    <s v="TANDEM"/>
    <s v="Silver"/>
    <d v="2022-01-19T00:00:00"/>
    <x v="3"/>
    <s v="Canterbury"/>
    <s v="New Zealand"/>
    <s v="Trailer"/>
    <s v="Standard"/>
    <m/>
    <m/>
    <m/>
    <x v="2"/>
  </r>
  <r>
    <n v="241"/>
    <s v="Roadbike"/>
    <n v="611"/>
    <n v="2007"/>
    <s v="VL800"/>
    <s v="Black"/>
    <d v="2022-01-20T00:00:00"/>
    <x v="0"/>
    <s v="Auckland"/>
    <s v="New Zealand"/>
    <s v="Suzuki"/>
    <s v="Standard"/>
    <m/>
    <m/>
    <m/>
    <x v="1"/>
  </r>
  <r>
    <n v="242"/>
    <s v="Trailer"/>
    <n v="549"/>
    <n v="1977"/>
    <s v="OLEARY 1 AXLE"/>
    <s v="Silver"/>
    <d v="2022-01-20T00:00:00"/>
    <x v="11"/>
    <s v="Taranaki"/>
    <s v="New Zealand"/>
    <s v="Homebuilt"/>
    <s v="Standard"/>
    <m/>
    <m/>
    <m/>
    <x v="1"/>
  </r>
  <r>
    <n v="243"/>
    <s v="Trailer"/>
    <n v="623"/>
    <n v="2001"/>
    <s v="DOMESTIC TRAILER"/>
    <s v="Silver"/>
    <d v="2022-01-20T00:00:00"/>
    <x v="6"/>
    <s v="Manawatū-Whanganui"/>
    <s v="New Zealand"/>
    <s v="Trailer"/>
    <s v="Standard"/>
    <m/>
    <m/>
    <m/>
    <x v="5"/>
  </r>
  <r>
    <n v="244"/>
    <s v="Boat Trailer"/>
    <n v="623"/>
    <n v="2019"/>
    <s v="HOMEBUILT"/>
    <s v="Silver"/>
    <d v="2022-01-20T00:00:00"/>
    <x v="0"/>
    <s v="Auckland"/>
    <s v="New Zealand"/>
    <s v="Trailer"/>
    <s v="Standard"/>
    <m/>
    <m/>
    <m/>
    <x v="5"/>
  </r>
  <r>
    <n v="245"/>
    <s v="Boat Trailer"/>
    <n v="623"/>
    <n v="2019"/>
    <s v="BOAT"/>
    <s v="Silver"/>
    <d v="2022-01-20T00:00:00"/>
    <x v="7"/>
    <s v="Northland"/>
    <s v="New Zealand"/>
    <s v="Trailer"/>
    <s v="Standard"/>
    <m/>
    <m/>
    <m/>
    <x v="5"/>
  </r>
  <r>
    <n v="246"/>
    <s v="Trailer"/>
    <n v="623"/>
    <n v="2019"/>
    <s v="HOMEBUILT"/>
    <s v="Black"/>
    <d v="2022-01-20T00:00:00"/>
    <x v="2"/>
    <s v="Hawke's Bay"/>
    <s v="New Zealand"/>
    <s v="Trailer"/>
    <s v="Standard"/>
    <m/>
    <m/>
    <m/>
    <x v="5"/>
  </r>
  <r>
    <n v="247"/>
    <s v="Trailer"/>
    <n v="516"/>
    <n v="2019"/>
    <s v="8X5 TANDEM TRAILER"/>
    <s v="Silver"/>
    <d v="2022-01-21T00:00:00"/>
    <x v="3"/>
    <s v="Canterbury"/>
    <s v="New Zealand"/>
    <s v="Buffalo"/>
    <s v="Standard"/>
    <m/>
    <m/>
    <m/>
    <x v="1"/>
  </r>
  <r>
    <n v="248"/>
    <s v="Boat Trailer"/>
    <n v="623"/>
    <n v="2019"/>
    <s v="BOAT"/>
    <s v="Silver"/>
    <d v="2022-01-22T00:00:00"/>
    <x v="0"/>
    <s v="Auckland"/>
    <s v="New Zealand"/>
    <s v="Trailer"/>
    <s v="Standard"/>
    <m/>
    <m/>
    <m/>
    <x v="1"/>
  </r>
  <r>
    <n v="249"/>
    <s v="Trailer"/>
    <n v="623"/>
    <n v="2019"/>
    <s v="M J SINGLE AXLE"/>
    <s v="Silver"/>
    <d v="2022-01-23T00:00:00"/>
    <x v="3"/>
    <s v="Canterbury"/>
    <s v="New Zealand"/>
    <s v="Trailer"/>
    <s v="Standard"/>
    <m/>
    <m/>
    <m/>
    <x v="1"/>
  </r>
  <r>
    <n v="250"/>
    <s v="Trailer"/>
    <n v="549"/>
    <n v="2019"/>
    <s v="DOMESTIC TRAILER"/>
    <s v="Black"/>
    <d v="2022-01-23T00:00:00"/>
    <x v="0"/>
    <s v="Auckland"/>
    <s v="New Zealand"/>
    <s v="Homebuilt"/>
    <s v="Standard"/>
    <m/>
    <m/>
    <m/>
    <x v="1"/>
  </r>
  <r>
    <n v="251"/>
    <s v="Trailer"/>
    <n v="623"/>
    <n v="1940"/>
    <s v="HOMEBUILT"/>
    <s v="White"/>
    <d v="2022-01-24T00:00:00"/>
    <x v="5"/>
    <s v="Otago"/>
    <s v="New Zealand"/>
    <s v="Trailer"/>
    <s v="Standard"/>
    <m/>
    <m/>
    <m/>
    <x v="3"/>
  </r>
  <r>
    <n v="252"/>
    <s v="Trailer"/>
    <n v="538"/>
    <n v="2019"/>
    <s v="DOMESTIC TRAILER"/>
    <s v="Silver"/>
    <d v="2022-01-24T00:00:00"/>
    <x v="4"/>
    <s v="Wellington"/>
    <s v="New Zealand"/>
    <s v="Factory Built"/>
    <s v="Standard"/>
    <m/>
    <m/>
    <m/>
    <x v="1"/>
  </r>
  <r>
    <n v="253"/>
    <s v="Trailer - Heavy"/>
    <n v="623"/>
    <n v="2019"/>
    <s v="ROADCHIEF"/>
    <s v="Silver"/>
    <d v="2022-01-24T00:00:00"/>
    <x v="8"/>
    <s v="Bay of Plenty"/>
    <s v="New Zealand"/>
    <s v="Trailer"/>
    <s v="Standard"/>
    <m/>
    <m/>
    <m/>
    <x v="3"/>
  </r>
  <r>
    <n v="254"/>
    <s v="Trailer"/>
    <n v="623"/>
    <n v="1997"/>
    <s v="K64SE"/>
    <s v="Silver"/>
    <d v="2022-01-24T00:00:00"/>
    <x v="10"/>
    <s v="Nelson"/>
    <s v="New Zealand"/>
    <s v="Trailer"/>
    <s v="Standard"/>
    <m/>
    <m/>
    <m/>
    <x v="3"/>
  </r>
  <r>
    <n v="255"/>
    <s v="Trailer"/>
    <n v="623"/>
    <n v="1997"/>
    <s v="OLEARY"/>
    <s v="Silver"/>
    <d v="2022-01-25T00:00:00"/>
    <x v="6"/>
    <s v="Manawatū-Whanganui"/>
    <s v="New Zealand"/>
    <s v="Trailer"/>
    <s v="Standard"/>
    <m/>
    <m/>
    <m/>
    <x v="2"/>
  </r>
  <r>
    <n v="256"/>
    <s v="Boat Trailer"/>
    <n v="623"/>
    <n v="2001"/>
    <s v="LOCAL"/>
    <s v="Silver"/>
    <d v="2022-01-25T00:00:00"/>
    <x v="7"/>
    <s v="Northland"/>
    <s v="New Zealand"/>
    <s v="Trailer"/>
    <s v="Standard"/>
    <m/>
    <m/>
    <m/>
    <x v="2"/>
  </r>
  <r>
    <n v="257"/>
    <s v="Trailer"/>
    <n v="623"/>
    <n v="2017"/>
    <s v="CONCEPT"/>
    <s v="Silver"/>
    <d v="2022-01-26T00:00:00"/>
    <x v="6"/>
    <s v="Manawatū-Whanganui"/>
    <s v="New Zealand"/>
    <s v="Trailer"/>
    <s v="Standard"/>
    <m/>
    <m/>
    <m/>
    <x v="1"/>
  </r>
  <r>
    <n v="258"/>
    <s v="Trailer"/>
    <n v="616"/>
    <n v="2019"/>
    <s v="DOMESTIC TRAILER"/>
    <s v="Silver"/>
    <d v="2022-01-27T00:00:00"/>
    <x v="4"/>
    <s v="Wellington"/>
    <s v="New Zealand"/>
    <s v="Titan"/>
    <s v="Standard"/>
    <m/>
    <m/>
    <m/>
    <x v="1"/>
  </r>
  <r>
    <n v="259"/>
    <s v="Boat Trailer"/>
    <n v="549"/>
    <n v="2019"/>
    <s v="BOAT TRAILER"/>
    <s v="Silver"/>
    <d v="2022-01-27T00:00:00"/>
    <x v="0"/>
    <s v="Auckland"/>
    <s v="New Zealand"/>
    <s v="Homebuilt"/>
    <s v="Standard"/>
    <m/>
    <m/>
    <m/>
    <x v="1"/>
  </r>
  <r>
    <n v="260"/>
    <s v="Roadbike"/>
    <n v="636"/>
    <n v="2005"/>
    <s v="YZF-R6T"/>
    <s v="Grey"/>
    <d v="2022-01-28T00:00:00"/>
    <x v="0"/>
    <s v="Auckland"/>
    <s v="New Zealand"/>
    <s v="Yamaha"/>
    <s v="Standard"/>
    <m/>
    <m/>
    <m/>
    <x v="1"/>
  </r>
  <r>
    <n v="261"/>
    <s v="Trailer"/>
    <n v="538"/>
    <n v="2019"/>
    <s v="TRAILUX TRAILER"/>
    <s v="Silver"/>
    <d v="2022-01-28T00:00:00"/>
    <x v="4"/>
    <s v="Wellington"/>
    <s v="New Zealand"/>
    <s v="Factory Built"/>
    <s v="Standard"/>
    <m/>
    <m/>
    <m/>
    <x v="1"/>
  </r>
  <r>
    <n v="262"/>
    <s v="Trailer"/>
    <n v="623"/>
    <n v="2016"/>
    <s v="ELITE 8X4"/>
    <s v="Silver"/>
    <d v="2022-01-28T00:00:00"/>
    <x v="3"/>
    <s v="Canterbury"/>
    <s v="New Zealand"/>
    <s v="Trailer"/>
    <s v="Standard"/>
    <m/>
    <m/>
    <m/>
    <x v="3"/>
  </r>
  <r>
    <n v="263"/>
    <s v="Trailer"/>
    <n v="623"/>
    <n v="2016"/>
    <s v="UTILITY"/>
    <s v="Silver"/>
    <d v="2022-01-28T00:00:00"/>
    <x v="0"/>
    <s v="Auckland"/>
    <s v="New Zealand"/>
    <s v="Trailer"/>
    <s v="Standard"/>
    <m/>
    <m/>
    <m/>
    <x v="3"/>
  </r>
  <r>
    <n v="264"/>
    <s v="Trailer - Heavy"/>
    <n v="623"/>
    <n v="2016"/>
    <s v="GT TRAILER"/>
    <s v="Silver"/>
    <d v="2022-01-28T00:00:00"/>
    <x v="3"/>
    <s v="Canterbury"/>
    <s v="New Zealand"/>
    <s v="Trailer"/>
    <s v="Standard"/>
    <m/>
    <m/>
    <m/>
    <x v="3"/>
  </r>
  <r>
    <n v="265"/>
    <s v="Caravan"/>
    <n v="630"/>
    <n v="2016"/>
    <n v="710"/>
    <s v="White"/>
    <d v="2022-01-28T00:00:00"/>
    <x v="9"/>
    <s v="Waikato"/>
    <s v="New Zealand"/>
    <s v="Veteran"/>
    <s v="Standard"/>
    <m/>
    <m/>
    <m/>
    <x v="1"/>
  </r>
  <r>
    <n v="266"/>
    <s v="Trailer"/>
    <n v="616"/>
    <n v="2016"/>
    <s v="8X5 SINGLE"/>
    <s v="Silver"/>
    <d v="2022-01-28T00:00:00"/>
    <x v="0"/>
    <s v="Auckland"/>
    <s v="New Zealand"/>
    <s v="Titan"/>
    <s v="Standard"/>
    <m/>
    <m/>
    <m/>
    <x v="1"/>
  </r>
  <r>
    <n v="267"/>
    <s v="Trailer"/>
    <n v="549"/>
    <n v="2016"/>
    <s v="HOME BUILD"/>
    <s v="Silver"/>
    <d v="2022-01-29T00:00:00"/>
    <x v="3"/>
    <s v="Canterbury"/>
    <s v="New Zealand"/>
    <s v="Homebuilt"/>
    <s v="Standard"/>
    <m/>
    <m/>
    <m/>
    <x v="2"/>
  </r>
  <r>
    <n v="268"/>
    <s v="Trailer"/>
    <n v="549"/>
    <n v="2004"/>
    <s v="TRAILER"/>
    <s v="Blue"/>
    <d v="2022-01-29T00:00:00"/>
    <x v="3"/>
    <s v="Canterbury"/>
    <s v="New Zealand"/>
    <s v="Homebuilt"/>
    <s v="Standard"/>
    <m/>
    <m/>
    <m/>
    <x v="2"/>
  </r>
  <r>
    <n v="269"/>
    <s v="Trailer"/>
    <n v="623"/>
    <n v="2016"/>
    <s v="COMPASS C85"/>
    <s v="Silver"/>
    <d v="2022-01-29T00:00:00"/>
    <x v="9"/>
    <s v="Waikato"/>
    <s v="New Zealand"/>
    <s v="Trailer"/>
    <s v="Standard"/>
    <m/>
    <m/>
    <m/>
    <x v="1"/>
  </r>
  <r>
    <n v="270"/>
    <s v="Trailer - Heavy"/>
    <n v="514"/>
    <n v="2016"/>
    <s v="TRAILER"/>
    <s v="Silver"/>
    <d v="2022-01-29T00:00:00"/>
    <x v="0"/>
    <s v="Auckland"/>
    <s v="New Zealand"/>
    <s v="Briford"/>
    <s v="Standard"/>
    <m/>
    <m/>
    <m/>
    <x v="2"/>
  </r>
  <r>
    <n v="271"/>
    <s v="Trailer"/>
    <n v="514"/>
    <n v="2016"/>
    <s v="TRAILER"/>
    <s v="Silver"/>
    <d v="2022-01-29T00:00:00"/>
    <x v="3"/>
    <s v="Canterbury"/>
    <s v="New Zealand"/>
    <s v="Briford"/>
    <s v="Standard"/>
    <m/>
    <m/>
    <m/>
    <x v="2"/>
  </r>
  <r>
    <n v="272"/>
    <s v="Trailer - Heavy"/>
    <n v="623"/>
    <n v="2016"/>
    <s v="GT TRAILER"/>
    <s v="Silver"/>
    <d v="2022-01-30T00:00:00"/>
    <x v="0"/>
    <s v="Auckland"/>
    <s v="New Zealand"/>
    <s v="Trailer"/>
    <s v="Standard"/>
    <m/>
    <m/>
    <m/>
    <x v="1"/>
  </r>
  <r>
    <n v="273"/>
    <s v="Trailer"/>
    <n v="549"/>
    <n v="1960"/>
    <s v="TRAILER"/>
    <s v="White"/>
    <d v="2022-01-31T00:00:00"/>
    <x v="3"/>
    <s v="Canterbury"/>
    <s v="New Zealand"/>
    <s v="Homebuilt"/>
    <s v="Standard"/>
    <m/>
    <m/>
    <m/>
    <x v="1"/>
  </r>
  <r>
    <n v="274"/>
    <s v="Trailer - Heavy"/>
    <n v="623"/>
    <n v="2013"/>
    <s v="MAINLINE TANKER"/>
    <s v="Grey"/>
    <d v="2022-01-31T00:00:00"/>
    <x v="0"/>
    <s v="Auckland"/>
    <s v="New Zealand"/>
    <s v="Trailer"/>
    <s v="Standard"/>
    <m/>
    <m/>
    <m/>
    <x v="1"/>
  </r>
  <r>
    <n v="275"/>
    <s v="Trailer - Heavy"/>
    <n v="527"/>
    <n v="2016"/>
    <s v="TBS"/>
    <s v="Grey"/>
    <d v="2022-01-31T00:00:00"/>
    <x v="0"/>
    <s v="Auckland"/>
    <s v="New Zealand"/>
    <s v="Custombuilt"/>
    <s v="Standard"/>
    <m/>
    <m/>
    <m/>
    <x v="1"/>
  </r>
  <r>
    <n v="276"/>
    <s v="Trailer"/>
    <n v="623"/>
    <n v="2016"/>
    <s v="GOUGH ENGINEERING"/>
    <s v="Silver"/>
    <d v="2022-02-01T00:00:00"/>
    <x v="9"/>
    <s v="Waikato"/>
    <s v="New Zealand"/>
    <s v="Trailer"/>
    <s v="Standard"/>
    <m/>
    <m/>
    <m/>
    <x v="1"/>
  </r>
  <r>
    <n v="277"/>
    <s v="Trailer - Heavy"/>
    <n v="514"/>
    <n v="2016"/>
    <s v="TRAILER"/>
    <s v="Silver"/>
    <d v="2022-02-01T00:00:00"/>
    <x v="0"/>
    <s v="Auckland"/>
    <s v="New Zealand"/>
    <s v="Briford"/>
    <s v="Standard"/>
    <m/>
    <m/>
    <m/>
    <x v="1"/>
  </r>
  <r>
    <n v="278"/>
    <s v="Trailer"/>
    <n v="623"/>
    <n v="2016"/>
    <s v="COMPASS KH85T"/>
    <s v="Silver"/>
    <d v="2022-02-02T00:00:00"/>
    <x v="0"/>
    <s v="Auckland"/>
    <s v="New Zealand"/>
    <s v="Trailer"/>
    <s v="Standard"/>
    <m/>
    <m/>
    <m/>
    <x v="1"/>
  </r>
  <r>
    <n v="279"/>
    <s v="Trailer"/>
    <n v="514"/>
    <n v="2016"/>
    <s v="6X4"/>
    <s v="Grey"/>
    <d v="2022-02-02T00:00:00"/>
    <x v="0"/>
    <s v="Auckland"/>
    <s v="New Zealand"/>
    <s v="Briford"/>
    <s v="Standard"/>
    <m/>
    <m/>
    <m/>
    <x v="1"/>
  </r>
  <r>
    <n v="280"/>
    <s v="Trailer"/>
    <n v="623"/>
    <n v="2016"/>
    <s v="ELITE 8X4"/>
    <s v="Silver"/>
    <d v="2022-02-03T00:00:00"/>
    <x v="3"/>
    <s v="Canterbury"/>
    <s v="New Zealand"/>
    <s v="Trailer"/>
    <s v="Standard"/>
    <m/>
    <m/>
    <m/>
    <x v="2"/>
  </r>
  <r>
    <n v="281"/>
    <s v="Saloon"/>
    <n v="576"/>
    <n v="1993"/>
    <s v="LANTIS"/>
    <s v="Blue"/>
    <d v="2022-02-03T00:00:00"/>
    <x v="9"/>
    <s v="Waikato"/>
    <s v="New Zealand"/>
    <s v="Mazda"/>
    <s v="Standard"/>
    <m/>
    <m/>
    <m/>
    <x v="1"/>
  </r>
  <r>
    <n v="282"/>
    <s v="Trailer"/>
    <n v="623"/>
    <n v="2016"/>
    <s v="TUFF"/>
    <s v="Silver"/>
    <d v="2022-02-03T00:00:00"/>
    <x v="0"/>
    <s v="Auckland"/>
    <s v="New Zealand"/>
    <s v="Trailer"/>
    <s v="Standard"/>
    <m/>
    <m/>
    <m/>
    <x v="2"/>
  </r>
  <r>
    <n v="283"/>
    <s v="Trailer - Heavy"/>
    <n v="514"/>
    <n v="2016"/>
    <s v="TRAILER"/>
    <s v="Silver"/>
    <d v="2022-02-03T00:00:00"/>
    <x v="0"/>
    <s v="Auckland"/>
    <s v="New Zealand"/>
    <s v="Briford"/>
    <s v="Standard"/>
    <m/>
    <m/>
    <m/>
    <x v="2"/>
  </r>
  <r>
    <n v="284"/>
    <s v="Trailer - Heavy"/>
    <n v="514"/>
    <n v="2016"/>
    <s v="OTHER COMMERCIAL TRA"/>
    <s v="Silver"/>
    <d v="2022-02-03T00:00:00"/>
    <x v="8"/>
    <s v="Bay of Plenty"/>
    <s v="New Zealand"/>
    <s v="Briford"/>
    <s v="Standard"/>
    <m/>
    <m/>
    <m/>
    <x v="2"/>
  </r>
  <r>
    <n v="285"/>
    <s v="Trailer - Heavy"/>
    <n v="514"/>
    <n v="2016"/>
    <s v="OTHER COMMERCIAL TRA"/>
    <s v="Silver"/>
    <d v="2022-02-04T00:00:00"/>
    <x v="9"/>
    <s v="Waikato"/>
    <s v="New Zealand"/>
    <s v="Briford"/>
    <s v="Standard"/>
    <m/>
    <m/>
    <m/>
    <x v="1"/>
  </r>
  <r>
    <n v="286"/>
    <s v="Boat Trailer"/>
    <n v="623"/>
    <n v="2016"/>
    <s v="AAA375 AAKRON"/>
    <s v="Silver"/>
    <d v="2022-02-04T00:00:00"/>
    <x v="0"/>
    <s v="Auckland"/>
    <s v="New Zealand"/>
    <s v="Trailer"/>
    <s v="Standard"/>
    <m/>
    <m/>
    <m/>
    <x v="5"/>
  </r>
  <r>
    <n v="287"/>
    <s v="Caravan"/>
    <n v="519"/>
    <n v="2007"/>
    <s v="LUNA DELTA"/>
    <s v="White"/>
    <d v="2022-02-04T00:00:00"/>
    <x v="4"/>
    <s v="Wellington"/>
    <s v="New Zealand"/>
    <s v="Caravan"/>
    <s v="Standard"/>
    <m/>
    <m/>
    <m/>
    <x v="1"/>
  </r>
  <r>
    <n v="288"/>
    <s v="Trailer"/>
    <n v="623"/>
    <n v="2016"/>
    <s v="VULCAN"/>
    <s v="Silver"/>
    <d v="2022-02-04T00:00:00"/>
    <x v="0"/>
    <s v="Auckland"/>
    <s v="New Zealand"/>
    <s v="Trailer"/>
    <s v="Standard"/>
    <m/>
    <m/>
    <m/>
    <x v="5"/>
  </r>
  <r>
    <n v="289"/>
    <s v="Trailer"/>
    <n v="623"/>
    <n v="2016"/>
    <s v="TUFF"/>
    <s v="Silver"/>
    <d v="2022-02-04T00:00:00"/>
    <x v="8"/>
    <s v="Bay of Plenty"/>
    <s v="New Zealand"/>
    <s v="Trailer"/>
    <s v="Standard"/>
    <m/>
    <m/>
    <m/>
    <x v="5"/>
  </r>
  <r>
    <n v="290"/>
    <s v="Boat Trailer"/>
    <n v="527"/>
    <n v="2016"/>
    <n v="4"/>
    <s v="Grey"/>
    <d v="2022-02-04T00:00:00"/>
    <x v="3"/>
    <s v="Canterbury"/>
    <s v="New Zealand"/>
    <s v="Custombuilt"/>
    <s v="Standard"/>
    <m/>
    <m/>
    <m/>
    <x v="1"/>
  </r>
  <r>
    <n v="291"/>
    <s v="Trailer - Heavy"/>
    <n v="623"/>
    <n v="2010"/>
    <s v="FLATDECK"/>
    <s v="Blue"/>
    <d v="2022-02-04T00:00:00"/>
    <x v="3"/>
    <s v="Canterbury"/>
    <s v="New Zealand"/>
    <s v="Trailer"/>
    <s v="Standard"/>
    <m/>
    <m/>
    <m/>
    <x v="5"/>
  </r>
  <r>
    <n v="292"/>
    <s v="Trailer"/>
    <n v="514"/>
    <n v="2016"/>
    <s v="TRAILER 8X4"/>
    <s v="Silver"/>
    <d v="2022-02-13T00:00:00"/>
    <x v="0"/>
    <s v="Auckland"/>
    <s v="New Zealand"/>
    <s v="Briford"/>
    <s v="Standard"/>
    <m/>
    <m/>
    <m/>
    <x v="2"/>
  </r>
  <r>
    <n v="293"/>
    <s v="Roadbike"/>
    <n v="611"/>
    <n v="2005"/>
    <s v="GSX 750"/>
    <s v="Blue"/>
    <d v="2022-02-13T00:00:00"/>
    <x v="0"/>
    <s v="Auckland"/>
    <s v="New Zealand"/>
    <s v="Suzuki"/>
    <s v="Standard"/>
    <m/>
    <m/>
    <m/>
    <x v="1"/>
  </r>
  <r>
    <n v="294"/>
    <s v="Trailer"/>
    <n v="514"/>
    <n v="2019"/>
    <s v="8X4"/>
    <s v="Silver"/>
    <d v="2022-02-13T00:00:00"/>
    <x v="3"/>
    <s v="Canterbury"/>
    <s v="New Zealand"/>
    <s v="Briford"/>
    <s v="Standard"/>
    <m/>
    <m/>
    <m/>
    <x v="2"/>
  </r>
  <r>
    <n v="295"/>
    <s v="Boat Trailer"/>
    <n v="635"/>
    <n v="1998"/>
    <s v="JII"/>
    <s v="Silver"/>
    <d v="2022-02-14T00:00:00"/>
    <x v="8"/>
    <s v="Bay of Plenty"/>
    <s v="New Zealand"/>
    <s v="Voyager"/>
    <s v="Standard"/>
    <m/>
    <m/>
    <m/>
    <x v="1"/>
  </r>
  <r>
    <n v="296"/>
    <s v="Boat Trailer"/>
    <n v="623"/>
    <n v="2000"/>
    <s v="HOSKING"/>
    <s v="Silver"/>
    <d v="2022-02-14T00:00:00"/>
    <x v="0"/>
    <s v="Auckland"/>
    <s v="New Zealand"/>
    <s v="Trailer"/>
    <s v="Standard"/>
    <m/>
    <m/>
    <m/>
    <x v="2"/>
  </r>
  <r>
    <n v="297"/>
    <s v="Boat Trailer"/>
    <n v="623"/>
    <n v="2019"/>
    <s v="SPORTLINE 610 HT"/>
    <s v="Grey"/>
    <d v="2022-02-14T00:00:00"/>
    <x v="9"/>
    <s v="Waikato"/>
    <s v="New Zealand"/>
    <s v="Trailer"/>
    <s v="Standard"/>
    <m/>
    <m/>
    <m/>
    <x v="2"/>
  </r>
  <r>
    <n v="298"/>
    <s v="Roadbike"/>
    <n v="505"/>
    <n v="1998"/>
    <s v="PEGASO"/>
    <s v="Red"/>
    <d v="2022-02-14T00:00:00"/>
    <x v="5"/>
    <s v="Otago"/>
    <s v="New Zealand"/>
    <s v="Aprilia"/>
    <s v="Standard"/>
    <m/>
    <m/>
    <m/>
    <x v="1"/>
  </r>
  <r>
    <n v="299"/>
    <s v="Moped"/>
    <n v="636"/>
    <n v="2007"/>
    <s v="CV50 JOG"/>
    <s v="Blue"/>
    <d v="2022-02-15T00:00:00"/>
    <x v="0"/>
    <s v="Auckland"/>
    <s v="New Zealand"/>
    <s v="Yamaha"/>
    <s v="Standard"/>
    <m/>
    <m/>
    <m/>
    <x v="1"/>
  </r>
  <r>
    <n v="300"/>
    <s v="Trailer"/>
    <n v="623"/>
    <n v="2019"/>
    <s v="HANSA CHIPPER"/>
    <s v="Green"/>
    <d v="2022-02-15T00:00:00"/>
    <x v="9"/>
    <s v="Waikato"/>
    <s v="New Zealand"/>
    <s v="Trailer"/>
    <s v="Standard"/>
    <m/>
    <m/>
    <m/>
    <x v="1"/>
  </r>
  <r>
    <n v="301"/>
    <s v="Roadbike"/>
    <n v="611"/>
    <n v="2007"/>
    <s v="GSX600F"/>
    <s v="Black"/>
    <d v="2022-02-16T00:00:00"/>
    <x v="7"/>
    <s v="Northland"/>
    <s v="New Zealand"/>
    <s v="Suzuki"/>
    <s v="Standard"/>
    <m/>
    <m/>
    <m/>
    <x v="2"/>
  </r>
  <r>
    <n v="302"/>
    <s v="Trailer"/>
    <n v="562"/>
    <n v="2020"/>
    <s v="KEA MX4"/>
    <s v="Silver"/>
    <d v="2022-02-16T00:00:00"/>
    <x v="0"/>
    <s v="Auckland"/>
    <s v="New Zealand"/>
    <s v="Kea"/>
    <s v="Standard"/>
    <m/>
    <m/>
    <m/>
    <x v="1"/>
  </r>
  <r>
    <n v="303"/>
    <s v="Trailer"/>
    <n v="514"/>
    <n v="1985"/>
    <s v="SINGLE AXLE"/>
    <s v="Grey"/>
    <d v="2022-02-16T00:00:00"/>
    <x v="3"/>
    <s v="Canterbury"/>
    <s v="New Zealand"/>
    <s v="Briford"/>
    <s v="Standard"/>
    <m/>
    <m/>
    <m/>
    <x v="1"/>
  </r>
  <r>
    <n v="304"/>
    <s v="Roadbike"/>
    <n v="611"/>
    <n v="2008"/>
    <s v="GSX"/>
    <s v="Orange"/>
    <d v="2022-02-16T00:00:00"/>
    <x v="0"/>
    <s v="Auckland"/>
    <s v="New Zealand"/>
    <s v="Suzuki"/>
    <s v="Standard"/>
    <m/>
    <m/>
    <m/>
    <x v="2"/>
  </r>
  <r>
    <n v="305"/>
    <s v="Boat Trailer"/>
    <n v="623"/>
    <n v="2020"/>
    <s v="AFC JETSKI"/>
    <s v="Silver"/>
    <d v="2022-02-16T00:00:00"/>
    <x v="4"/>
    <s v="Wellington"/>
    <s v="New Zealand"/>
    <s v="Trailer"/>
    <s v="Standard"/>
    <m/>
    <m/>
    <m/>
    <x v="1"/>
  </r>
  <r>
    <n v="306"/>
    <s v="Trailer"/>
    <n v="535"/>
    <n v="1977"/>
    <s v="RSKF1F27.9"/>
    <s v="Red"/>
    <d v="2022-02-17T00:00:00"/>
    <x v="0"/>
    <s v="Auckland"/>
    <s v="New Zealand"/>
    <s v="Domett"/>
    <s v="Standard"/>
    <m/>
    <m/>
    <m/>
    <x v="1"/>
  </r>
  <r>
    <n v="307"/>
    <s v="Boat Trailer"/>
    <n v="623"/>
    <n v="2020"/>
    <s v="ASD JETSKI"/>
    <s v="Silver"/>
    <d v="2022-02-17T00:00:00"/>
    <x v="0"/>
    <s v="Auckland"/>
    <s v="New Zealand"/>
    <s v="Trailer"/>
    <s v="Standard"/>
    <m/>
    <m/>
    <m/>
    <x v="1"/>
  </r>
  <r>
    <n v="308"/>
    <s v="Caravan"/>
    <n v="508"/>
    <n v="2009"/>
    <s v="PEGEANT S7 LOIRE"/>
    <s v="White"/>
    <d v="2022-02-17T00:00:00"/>
    <x v="0"/>
    <s v="Auckland"/>
    <s v="New Zealand"/>
    <s v="Bailey"/>
    <s v="Standard"/>
    <m/>
    <m/>
    <m/>
    <x v="1"/>
  </r>
  <r>
    <n v="309"/>
    <s v="Boat Trailer"/>
    <n v="623"/>
    <n v="2020"/>
    <s v="JETSKI"/>
    <s v="Grey"/>
    <d v="2022-02-18T00:00:00"/>
    <x v="7"/>
    <s v="Northland"/>
    <s v="New Zealand"/>
    <s v="Trailer"/>
    <s v="Standard"/>
    <m/>
    <m/>
    <m/>
    <x v="1"/>
  </r>
  <r>
    <n v="310"/>
    <s v="Roadbike"/>
    <n v="561"/>
    <n v="1986"/>
    <s v="ZL 900"/>
    <s v="Red"/>
    <d v="2022-02-18T00:00:00"/>
    <x v="7"/>
    <s v="Northland"/>
    <s v="New Zealand"/>
    <s v="Kawasaki"/>
    <s v="Standard"/>
    <m/>
    <m/>
    <m/>
    <x v="1"/>
  </r>
  <r>
    <n v="311"/>
    <s v="Boat Trailer"/>
    <n v="623"/>
    <n v="2020"/>
    <s v="JETSKI"/>
    <s v="Silver"/>
    <d v="2022-02-19T00:00:00"/>
    <x v="9"/>
    <s v="Waikato"/>
    <s v="New Zealand"/>
    <s v="Trailer"/>
    <s v="Standard"/>
    <m/>
    <m/>
    <m/>
    <x v="2"/>
  </r>
  <r>
    <n v="312"/>
    <s v="Trailer"/>
    <n v="623"/>
    <n v="2020"/>
    <s v="BRI-INN"/>
    <s v="Silver"/>
    <d v="2022-02-19T00:00:00"/>
    <x v="3"/>
    <s v="Canterbury"/>
    <s v="New Zealand"/>
    <s v="Trailer"/>
    <s v="Standard"/>
    <m/>
    <m/>
    <m/>
    <x v="2"/>
  </r>
  <r>
    <n v="313"/>
    <s v="Trailer"/>
    <n v="549"/>
    <n v="1989"/>
    <s v="LOCAL"/>
    <s v="Grey"/>
    <d v="2022-02-19T00:00:00"/>
    <x v="9"/>
    <s v="Waikato"/>
    <s v="New Zealand"/>
    <s v="Homebuilt"/>
    <s v="Standard"/>
    <m/>
    <m/>
    <m/>
    <x v="1"/>
  </r>
  <r>
    <n v="314"/>
    <s v="Boat Trailer"/>
    <n v="623"/>
    <n v="2019"/>
    <s v="JEYSKI ACTION LAB"/>
    <s v="Grey"/>
    <d v="2022-02-21T00:00:00"/>
    <x v="0"/>
    <s v="Auckland"/>
    <s v="New Zealand"/>
    <s v="Trailer"/>
    <s v="Standard"/>
    <m/>
    <m/>
    <m/>
    <x v="1"/>
  </r>
  <r>
    <n v="315"/>
    <s v="Boat Trailer"/>
    <n v="527"/>
    <n v="2020"/>
    <s v="AUCKLAND"/>
    <s v="Silver"/>
    <d v="2022-02-21T00:00:00"/>
    <x v="0"/>
    <s v="Auckland"/>
    <s v="New Zealand"/>
    <s v="Custombuilt"/>
    <s v="Standard"/>
    <m/>
    <m/>
    <m/>
    <x v="1"/>
  </r>
  <r>
    <n v="316"/>
    <s v="Roadbike"/>
    <n v="554"/>
    <n v="2006"/>
    <s v="GV"/>
    <s v="Red"/>
    <d v="2022-02-22T00:00:00"/>
    <x v="1"/>
    <s v="Gisborne"/>
    <s v="New Zealand"/>
    <s v="Hyosung"/>
    <s v="Standard"/>
    <m/>
    <m/>
    <m/>
    <x v="1"/>
  </r>
  <r>
    <n v="317"/>
    <s v="Boat Trailer"/>
    <n v="623"/>
    <n v="2020"/>
    <s v="HOMEMADE"/>
    <s v="Grey"/>
    <d v="2022-02-22T00:00:00"/>
    <x v="9"/>
    <s v="Waikato"/>
    <s v="New Zealand"/>
    <s v="Trailer"/>
    <s v="Standard"/>
    <m/>
    <m/>
    <m/>
    <x v="2"/>
  </r>
  <r>
    <n v="318"/>
    <s v="Trailer - Heavy"/>
    <n v="514"/>
    <n v="2016"/>
    <s v="OTHER COMMERCIAL TRA"/>
    <s v="Silver"/>
    <d v="2022-02-22T00:00:00"/>
    <x v="0"/>
    <s v="Auckland"/>
    <s v="New Zealand"/>
    <s v="Briford"/>
    <s v="Standard"/>
    <m/>
    <m/>
    <m/>
    <x v="1"/>
  </r>
  <r>
    <n v="319"/>
    <s v="Caravan"/>
    <n v="519"/>
    <n v="1977"/>
    <s v="CHEVRON 1300"/>
    <s v="White"/>
    <d v="2022-02-22T00:00:00"/>
    <x v="8"/>
    <s v="Bay of Plenty"/>
    <s v="New Zealand"/>
    <s v="Caravan"/>
    <s v="Standard"/>
    <m/>
    <m/>
    <m/>
    <x v="1"/>
  </r>
  <r>
    <n v="320"/>
    <s v="Trailer"/>
    <n v="623"/>
    <n v="1981"/>
    <s v="HOMEMADE"/>
    <s v="Grey"/>
    <d v="2022-02-22T00:00:00"/>
    <x v="2"/>
    <s v="Hawke's Bay"/>
    <s v="New Zealand"/>
    <s v="Trailer"/>
    <s v="Standard"/>
    <m/>
    <m/>
    <m/>
    <x v="2"/>
  </r>
  <r>
    <n v="321"/>
    <s v="Trailer"/>
    <n v="623"/>
    <n v="2020"/>
    <s v="DOMESTIC"/>
    <s v="Silver"/>
    <d v="2022-02-23T00:00:00"/>
    <x v="0"/>
    <s v="Auckland"/>
    <s v="New Zealand"/>
    <s v="Trailer"/>
    <s v="Standard"/>
    <m/>
    <m/>
    <m/>
    <x v="0"/>
  </r>
  <r>
    <n v="322"/>
    <s v="Trailer"/>
    <n v="623"/>
    <n v="2020"/>
    <s v="DOMESTIC TRAILER"/>
    <s v="Silver"/>
    <d v="2022-02-23T00:00:00"/>
    <x v="6"/>
    <s v="Manawatū-Whanganui"/>
    <s v="New Zealand"/>
    <s v="Trailer"/>
    <s v="Standard"/>
    <m/>
    <m/>
    <m/>
    <x v="0"/>
  </r>
  <r>
    <n v="323"/>
    <s v="Trailer"/>
    <n v="623"/>
    <n v="2020"/>
    <s v="ELITE 8X4"/>
    <s v="Silver"/>
    <d v="2022-02-23T00:00:00"/>
    <x v="3"/>
    <s v="Canterbury"/>
    <s v="New Zealand"/>
    <s v="Trailer"/>
    <s v="Standard"/>
    <m/>
    <m/>
    <m/>
    <x v="0"/>
  </r>
  <r>
    <n v="324"/>
    <s v="Trailer"/>
    <n v="623"/>
    <n v="2020"/>
    <s v="FUTURA"/>
    <s v="Grey"/>
    <d v="2022-02-23T00:00:00"/>
    <x v="0"/>
    <s v="Auckland"/>
    <s v="New Zealand"/>
    <s v="Trailer"/>
    <s v="Standard"/>
    <m/>
    <m/>
    <m/>
    <x v="0"/>
  </r>
  <r>
    <n v="325"/>
    <s v="Boat Trailer"/>
    <n v="623"/>
    <n v="2020"/>
    <s v="DMW"/>
    <s v="Silver"/>
    <d v="2022-02-23T00:00:00"/>
    <x v="0"/>
    <s v="Auckland"/>
    <s v="New Zealand"/>
    <s v="Trailer"/>
    <s v="Standard"/>
    <m/>
    <m/>
    <m/>
    <x v="0"/>
  </r>
  <r>
    <n v="326"/>
    <s v="Trailer"/>
    <n v="623"/>
    <n v="2020"/>
    <s v="TUFF"/>
    <s v="Silver"/>
    <d v="2022-02-24T00:00:00"/>
    <x v="6"/>
    <s v="Manawatū-Whanganui"/>
    <s v="New Zealand"/>
    <s v="Trailer"/>
    <s v="Standard"/>
    <m/>
    <m/>
    <m/>
    <x v="2"/>
  </r>
  <r>
    <n v="327"/>
    <s v="Caravan"/>
    <n v="526"/>
    <n v="2010"/>
    <n v="560"/>
    <s v="White"/>
    <d v="2022-02-24T00:00:00"/>
    <x v="3"/>
    <s v="Canterbury"/>
    <s v="New Zealand"/>
    <s v="Crusader"/>
    <s v="Standard"/>
    <m/>
    <m/>
    <m/>
    <x v="1"/>
  </r>
  <r>
    <n v="328"/>
    <s v="Roadbike"/>
    <n v="611"/>
    <n v="2008"/>
    <s v="GN125H"/>
    <s v="Red"/>
    <d v="2022-02-24T00:00:00"/>
    <x v="10"/>
    <s v="Nelson"/>
    <s v="New Zealand"/>
    <s v="Suzuki"/>
    <s v="Standard"/>
    <m/>
    <m/>
    <m/>
    <x v="1"/>
  </r>
  <r>
    <n v="329"/>
    <s v="Trailer"/>
    <n v="623"/>
    <n v="1996"/>
    <s v="DOMESTIC TRAILER"/>
    <s v="Grey"/>
    <d v="2022-02-24T00:00:00"/>
    <x v="1"/>
    <s v="Gisborne"/>
    <s v="New Zealand"/>
    <s v="Trailer"/>
    <s v="Standard"/>
    <m/>
    <m/>
    <m/>
    <x v="2"/>
  </r>
  <r>
    <n v="330"/>
    <s v="Trailer"/>
    <n v="562"/>
    <n v="2020"/>
    <s v="K85S"/>
    <s v="Silver"/>
    <d v="2022-02-25T00:00:00"/>
    <x v="8"/>
    <s v="Bay of Plenty"/>
    <s v="New Zealand"/>
    <s v="Kea"/>
    <s v="Standard"/>
    <m/>
    <m/>
    <m/>
    <x v="1"/>
  </r>
  <r>
    <n v="331"/>
    <s v="Roadbike"/>
    <n v="611"/>
    <n v="2005"/>
    <s v="GS"/>
    <s v="Black"/>
    <d v="2022-02-25T00:00:00"/>
    <x v="0"/>
    <s v="Auckland"/>
    <s v="New Zealand"/>
    <s v="Suzuki"/>
    <s v="Standard"/>
    <m/>
    <m/>
    <m/>
    <x v="1"/>
  </r>
  <r>
    <n v="332"/>
    <s v="Trailer"/>
    <n v="623"/>
    <n v="2012"/>
    <s v="DOMESTIC TRAILER"/>
    <s v="Silver"/>
    <d v="2022-02-26T00:00:00"/>
    <x v="11"/>
    <s v="Taranaki"/>
    <s v="New Zealand"/>
    <s v="Trailer"/>
    <s v="Standard"/>
    <m/>
    <m/>
    <m/>
    <x v="1"/>
  </r>
  <r>
    <n v="333"/>
    <s v="Trailer"/>
    <n v="623"/>
    <n v="2020"/>
    <s v="8X5"/>
    <s v="Grey"/>
    <d v="2022-02-27T00:00:00"/>
    <x v="10"/>
    <s v="Nelson"/>
    <s v="New Zealand"/>
    <s v="Trailer"/>
    <s v="Standard"/>
    <m/>
    <m/>
    <m/>
    <x v="2"/>
  </r>
  <r>
    <n v="334"/>
    <s v="Trailer"/>
    <n v="595"/>
    <n v="2012"/>
    <s v="11X5"/>
    <s v="Silver"/>
    <d v="2022-02-27T00:00:00"/>
    <x v="3"/>
    <s v="Canterbury"/>
    <s v="New Zealand"/>
    <s v="Pinto"/>
    <s v="Standard"/>
    <m/>
    <m/>
    <m/>
    <x v="1"/>
  </r>
  <r>
    <n v="335"/>
    <s v="Trailer"/>
    <n v="623"/>
    <n v="2016"/>
    <s v="DOMESTIC"/>
    <s v="Silver"/>
    <d v="2022-02-27T00:00:00"/>
    <x v="0"/>
    <s v="Auckland"/>
    <s v="New Zealand"/>
    <s v="Trailer"/>
    <s v="Standard"/>
    <m/>
    <m/>
    <m/>
    <x v="2"/>
  </r>
  <r>
    <n v="336"/>
    <s v="Trailer"/>
    <n v="538"/>
    <n v="2016"/>
    <s v="BRENT SMITH TRAILERS"/>
    <s v="Silver"/>
    <d v="2022-02-27T00:00:00"/>
    <x v="4"/>
    <s v="Wellington"/>
    <s v="New Zealand"/>
    <s v="Factory Built"/>
    <s v="Standard"/>
    <m/>
    <m/>
    <m/>
    <x v="1"/>
  </r>
  <r>
    <n v="337"/>
    <s v="Trailer"/>
    <n v="616"/>
    <n v="2016"/>
    <s v="8X5"/>
    <s v="Silver"/>
    <d v="2022-02-28T00:00:00"/>
    <x v="8"/>
    <s v="Bay of Plenty"/>
    <s v="New Zealand"/>
    <s v="Titan"/>
    <s v="Standard"/>
    <m/>
    <m/>
    <m/>
    <x v="1"/>
  </r>
  <r>
    <n v="338"/>
    <s v="Trailer"/>
    <n v="514"/>
    <n v="2016"/>
    <s v="8X4"/>
    <s v="Silver"/>
    <d v="2022-02-28T00:00:00"/>
    <x v="3"/>
    <s v="Canterbury"/>
    <s v="New Zealand"/>
    <s v="Briford"/>
    <s v="Standard"/>
    <m/>
    <m/>
    <m/>
    <x v="2"/>
  </r>
  <r>
    <n v="339"/>
    <s v="Trailer"/>
    <n v="549"/>
    <n v="2016"/>
    <s v="TRAILERWAY"/>
    <s v="Silver"/>
    <d v="2022-02-28T00:00:00"/>
    <x v="0"/>
    <s v="Auckland"/>
    <s v="New Zealand"/>
    <s v="Homebuilt"/>
    <s v="Standard"/>
    <m/>
    <m/>
    <m/>
    <x v="1"/>
  </r>
  <r>
    <n v="340"/>
    <s v="Boat Trailer"/>
    <n v="597"/>
    <n v="2016"/>
    <s v="TRAILER"/>
    <s v="Silver"/>
    <d v="2022-02-28T00:00:00"/>
    <x v="0"/>
    <s v="Auckland"/>
    <s v="New Zealand"/>
    <s v="Reid"/>
    <s v="Standard"/>
    <m/>
    <m/>
    <m/>
    <x v="1"/>
  </r>
  <r>
    <n v="341"/>
    <s v="Light Van"/>
    <n v="619"/>
    <n v="2001"/>
    <s v="REGIUS"/>
    <s v="White"/>
    <d v="2022-02-28T00:00:00"/>
    <x v="0"/>
    <s v="Auckland"/>
    <s v="New Zealand"/>
    <s v="Toyota"/>
    <s v="Standard"/>
    <m/>
    <m/>
    <m/>
    <x v="1"/>
  </r>
  <r>
    <n v="342"/>
    <s v="Trailer"/>
    <n v="514"/>
    <n v="2016"/>
    <s v="9X4 6 TANDEM"/>
    <s v="Silver"/>
    <d v="2022-02-28T00:00:00"/>
    <x v="4"/>
    <s v="Wellington"/>
    <s v="New Zealand"/>
    <s v="Briford"/>
    <s v="Standard"/>
    <m/>
    <m/>
    <m/>
    <x v="2"/>
  </r>
  <r>
    <n v="343"/>
    <s v="Trailer - Heavy"/>
    <n v="623"/>
    <n v="2016"/>
    <s v="GT"/>
    <s v="Silver"/>
    <d v="2022-02-28T00:00:00"/>
    <x v="0"/>
    <s v="Auckland"/>
    <s v="New Zealand"/>
    <s v="Trailer"/>
    <s v="Standard"/>
    <m/>
    <m/>
    <m/>
    <x v="1"/>
  </r>
  <r>
    <n v="344"/>
    <s v="Trailer - Heavy"/>
    <n v="623"/>
    <n v="2016"/>
    <s v="GT TRAILER"/>
    <s v="Silver"/>
    <d v="2022-03-01T00:00:00"/>
    <x v="8"/>
    <s v="Bay of Plenty"/>
    <s v="New Zealand"/>
    <s v="Trailer"/>
    <s v="Standard"/>
    <m/>
    <m/>
    <m/>
    <x v="2"/>
  </r>
  <r>
    <n v="345"/>
    <s v="Trailer"/>
    <n v="623"/>
    <n v="2016"/>
    <s v="DOMESTIC"/>
    <s v="Green"/>
    <d v="2022-03-01T00:00:00"/>
    <x v="7"/>
    <s v="Northland"/>
    <s v="New Zealand"/>
    <s v="Trailer"/>
    <s v="Standard"/>
    <m/>
    <m/>
    <m/>
    <x v="2"/>
  </r>
  <r>
    <n v="346"/>
    <s v="Trailer"/>
    <n v="623"/>
    <n v="2007"/>
    <s v="HOMEMADE"/>
    <s v="Black"/>
    <d v="2022-03-02T00:00:00"/>
    <x v="9"/>
    <s v="Waikato"/>
    <s v="New Zealand"/>
    <s v="Trailer"/>
    <s v="Standard"/>
    <m/>
    <m/>
    <m/>
    <x v="5"/>
  </r>
  <r>
    <n v="347"/>
    <s v="Trailer"/>
    <n v="623"/>
    <n v="2016"/>
    <s v="DOMESTIC TRAILER"/>
    <s v="Silver"/>
    <d v="2022-03-02T00:00:00"/>
    <x v="3"/>
    <s v="Canterbury"/>
    <s v="New Zealand"/>
    <s v="Trailer"/>
    <s v="Standard"/>
    <m/>
    <m/>
    <m/>
    <x v="5"/>
  </r>
  <r>
    <n v="348"/>
    <s v="Caravan"/>
    <n v="519"/>
    <n v="2005"/>
    <s v="BESSACARR CAMEO 625"/>
    <s v="White"/>
    <d v="2022-03-02T00:00:00"/>
    <x v="0"/>
    <s v="Auckland"/>
    <s v="New Zealand"/>
    <s v="Caravan"/>
    <s v="Standard"/>
    <m/>
    <m/>
    <m/>
    <x v="1"/>
  </r>
  <r>
    <n v="349"/>
    <s v="Trailer"/>
    <n v="623"/>
    <n v="2016"/>
    <s v="TRAILER PRO"/>
    <s v="Silver"/>
    <d v="2022-03-02T00:00:00"/>
    <x v="3"/>
    <s v="Canterbury"/>
    <s v="New Zealand"/>
    <s v="Trailer"/>
    <s v="Standard"/>
    <m/>
    <m/>
    <m/>
    <x v="5"/>
  </r>
  <r>
    <n v="350"/>
    <s v="Trailer"/>
    <n v="623"/>
    <n v="2016"/>
    <s v="8X4"/>
    <s v="Silver"/>
    <d v="2022-03-02T00:00:00"/>
    <x v="3"/>
    <s v="Canterbury"/>
    <s v="New Zealand"/>
    <s v="Trailer"/>
    <s v="Standard"/>
    <m/>
    <m/>
    <m/>
    <x v="5"/>
  </r>
  <r>
    <n v="351"/>
    <s v="Trailer"/>
    <n v="514"/>
    <n v="2016"/>
    <s v="8X4 TANDEM"/>
    <s v="Silver"/>
    <d v="2022-03-03T00:00:00"/>
    <x v="3"/>
    <s v="Canterbury"/>
    <s v="New Zealand"/>
    <s v="Briford"/>
    <s v="Standard"/>
    <m/>
    <m/>
    <m/>
    <x v="1"/>
  </r>
  <r>
    <n v="352"/>
    <s v="Caravan"/>
    <n v="612"/>
    <n v="2002"/>
    <s v="BARNWELL ARCHWAY"/>
    <s v="White"/>
    <d v="2022-03-03T00:00:00"/>
    <x v="2"/>
    <s v="Hawke's Bay"/>
    <s v="New Zealand"/>
    <s v="Swift"/>
    <s v="Standard"/>
    <m/>
    <m/>
    <m/>
    <x v="1"/>
  </r>
  <r>
    <n v="353"/>
    <s v="Trailer"/>
    <n v="623"/>
    <n v="2016"/>
    <s v="HOMEMADE"/>
    <s v="Black"/>
    <d v="2022-03-03T00:00:00"/>
    <x v="4"/>
    <s v="Wellington"/>
    <s v="New Zealand"/>
    <s v="Trailer"/>
    <s v="Standard"/>
    <m/>
    <m/>
    <m/>
    <x v="1"/>
  </r>
  <r>
    <n v="354"/>
    <s v="Trailer"/>
    <n v="616"/>
    <n v="2016"/>
    <s v="CAR CARRIER"/>
    <s v="Silver"/>
    <d v="2022-03-04T00:00:00"/>
    <x v="8"/>
    <s v="Bay of Plenty"/>
    <s v="New Zealand"/>
    <s v="Titan"/>
    <s v="Standard"/>
    <m/>
    <m/>
    <m/>
    <x v="1"/>
  </r>
  <r>
    <n v="355"/>
    <s v="Trailer"/>
    <n v="623"/>
    <n v="1970"/>
    <s v="LOCAL"/>
    <s v="Grey"/>
    <d v="2022-03-04T00:00:00"/>
    <x v="3"/>
    <s v="Canterbury"/>
    <s v="New Zealand"/>
    <s v="Trailer"/>
    <s v="Standard"/>
    <m/>
    <m/>
    <m/>
    <x v="2"/>
  </r>
  <r>
    <n v="356"/>
    <s v="Trailer"/>
    <n v="623"/>
    <n v="2020"/>
    <s v="TRAYLA"/>
    <s v="Silver"/>
    <d v="2022-03-04T00:00:00"/>
    <x v="6"/>
    <s v="Manawatū-Whanganui"/>
    <s v="New Zealand"/>
    <s v="Trailer"/>
    <s v="Standard"/>
    <m/>
    <m/>
    <m/>
    <x v="2"/>
  </r>
  <r>
    <n v="357"/>
    <s v="Trailer"/>
    <n v="623"/>
    <n v="2020"/>
    <s v="COMPASS-FPT104"/>
    <s v="Silver"/>
    <d v="2022-03-13T00:00:00"/>
    <x v="9"/>
    <s v="Waikato"/>
    <s v="New Zealand"/>
    <s v="Trailer"/>
    <s v="Standard"/>
    <m/>
    <m/>
    <m/>
    <x v="5"/>
  </r>
  <r>
    <n v="358"/>
    <s v="Trailer"/>
    <n v="623"/>
    <n v="2020"/>
    <s v="GIBBONS"/>
    <s v="Silver"/>
    <d v="2022-03-13T00:00:00"/>
    <x v="9"/>
    <s v="Waikato"/>
    <s v="New Zealand"/>
    <s v="Trailer"/>
    <s v="Standard"/>
    <m/>
    <m/>
    <m/>
    <x v="5"/>
  </r>
  <r>
    <n v="359"/>
    <s v="Trailer"/>
    <n v="623"/>
    <n v="2020"/>
    <s v="HOMEBUILT"/>
    <s v="Black"/>
    <d v="2022-03-13T00:00:00"/>
    <x v="0"/>
    <s v="Auckland"/>
    <s v="New Zealand"/>
    <s v="Trailer"/>
    <s v="Standard"/>
    <m/>
    <m/>
    <m/>
    <x v="5"/>
  </r>
  <r>
    <n v="360"/>
    <s v="Trailer - Heavy"/>
    <n v="623"/>
    <n v="2020"/>
    <s v="P.S."/>
    <s v="Grey"/>
    <d v="2022-03-13T00:00:00"/>
    <x v="11"/>
    <s v="Taranaki"/>
    <s v="New Zealand"/>
    <s v="Trailer"/>
    <s v="Standard"/>
    <m/>
    <m/>
    <m/>
    <x v="5"/>
  </r>
  <r>
    <n v="361"/>
    <s v="Roadbike"/>
    <n v="611"/>
    <n v="2009"/>
    <s v="GSX650F"/>
    <s v="Blue"/>
    <d v="2022-03-13T00:00:00"/>
    <x v="9"/>
    <s v="Waikato"/>
    <s v="New Zealand"/>
    <s v="Suzuki"/>
    <s v="Standard"/>
    <m/>
    <m/>
    <m/>
    <x v="1"/>
  </r>
  <r>
    <n v="362"/>
    <s v="Trailer"/>
    <n v="623"/>
    <n v="1998"/>
    <s v="FOXENG 1000"/>
    <s v="Blue"/>
    <d v="2022-03-14T00:00:00"/>
    <x v="4"/>
    <s v="Wellington"/>
    <s v="New Zealand"/>
    <s v="Trailer"/>
    <s v="Standard"/>
    <m/>
    <m/>
    <m/>
    <x v="2"/>
  </r>
  <r>
    <n v="363"/>
    <s v="Trailer"/>
    <n v="623"/>
    <n v="2020"/>
    <s v="DOMESTIC"/>
    <s v="Grey"/>
    <d v="2022-03-14T00:00:00"/>
    <x v="0"/>
    <s v="Auckland"/>
    <s v="New Zealand"/>
    <s v="Trailer"/>
    <s v="Standard"/>
    <m/>
    <m/>
    <m/>
    <x v="2"/>
  </r>
  <r>
    <n v="364"/>
    <s v="Trailer"/>
    <n v="623"/>
    <n v="2020"/>
    <s v="TANDEM"/>
    <s v="Black"/>
    <d v="2022-03-15T00:00:00"/>
    <x v="8"/>
    <s v="Bay of Plenty"/>
    <s v="New Zealand"/>
    <s v="Trailer"/>
    <s v="Standard"/>
    <m/>
    <m/>
    <m/>
    <x v="2"/>
  </r>
  <r>
    <n v="365"/>
    <s v="Moped"/>
    <n v="611"/>
    <n v="2007"/>
    <s v="AZ50 UDK6"/>
    <s v="Black"/>
    <d v="2022-03-15T00:00:00"/>
    <x v="0"/>
    <s v="Auckland"/>
    <s v="New Zealand"/>
    <s v="Suzuki"/>
    <s v="Standard"/>
    <m/>
    <m/>
    <m/>
    <x v="1"/>
  </r>
  <r>
    <n v="366"/>
    <s v="Trailer"/>
    <n v="623"/>
    <n v="2020"/>
    <s v="COOPER"/>
    <s v="Black"/>
    <d v="2022-03-15T00:00:00"/>
    <x v="3"/>
    <s v="Canterbury"/>
    <s v="New Zealand"/>
    <s v="Trailer"/>
    <s v="Standard"/>
    <m/>
    <m/>
    <m/>
    <x v="2"/>
  </r>
  <r>
    <n v="367"/>
    <s v="Trailer"/>
    <n v="616"/>
    <n v="2020"/>
    <s v="DOMESTIC TRAILER"/>
    <s v="Silver"/>
    <d v="2022-03-15T00:00:00"/>
    <x v="1"/>
    <s v="Gisborne"/>
    <s v="New Zealand"/>
    <s v="Titan"/>
    <s v="Standard"/>
    <m/>
    <m/>
    <m/>
    <x v="1"/>
  </r>
  <r>
    <n v="368"/>
    <s v="Roadbike"/>
    <n v="545"/>
    <n v="2006"/>
    <s v="SOFTAIL"/>
    <s v="Black"/>
    <d v="2022-03-16T00:00:00"/>
    <x v="0"/>
    <s v="Auckland"/>
    <s v="New Zealand"/>
    <s v="Harley Davidson"/>
    <s v="Standard"/>
    <m/>
    <m/>
    <m/>
    <x v="1"/>
  </r>
  <r>
    <n v="369"/>
    <s v="Boat Trailer"/>
    <n v="549"/>
    <n v="2020"/>
    <s v="BOX TRAILER"/>
    <s v="Silver"/>
    <d v="2022-03-16T00:00:00"/>
    <x v="7"/>
    <s v="Northland"/>
    <s v="New Zealand"/>
    <s v="Homebuilt"/>
    <s v="Standard"/>
    <m/>
    <m/>
    <m/>
    <x v="1"/>
  </r>
  <r>
    <n v="370"/>
    <s v="Caravan"/>
    <n v="519"/>
    <n v="1980"/>
    <s v="ZEPHYR"/>
    <s v="White"/>
    <d v="2022-03-16T00:00:00"/>
    <x v="12"/>
    <s v="Southland"/>
    <s v="New Zealand"/>
    <s v="Caravan"/>
    <s v="Standard"/>
    <m/>
    <m/>
    <m/>
    <x v="1"/>
  </r>
  <r>
    <n v="371"/>
    <s v="Trailer"/>
    <n v="623"/>
    <n v="2020"/>
    <s v="ROADCHEF"/>
    <s v="Silver"/>
    <d v="2022-03-17T00:00:00"/>
    <x v="9"/>
    <s v="Waikato"/>
    <s v="New Zealand"/>
    <s v="Trailer"/>
    <s v="Standard"/>
    <m/>
    <m/>
    <m/>
    <x v="2"/>
  </r>
  <r>
    <n v="372"/>
    <s v="Trailer"/>
    <n v="623"/>
    <n v="2020"/>
    <s v="TUFF"/>
    <s v="Silver"/>
    <d v="2022-03-17T00:00:00"/>
    <x v="0"/>
    <s v="Auckland"/>
    <s v="New Zealand"/>
    <s v="Trailer"/>
    <s v="Standard"/>
    <m/>
    <m/>
    <m/>
    <x v="2"/>
  </r>
  <r>
    <n v="373"/>
    <s v="Roadbike"/>
    <n v="611"/>
    <n v="2003"/>
    <s v="SV1000S"/>
    <s v="Blue"/>
    <d v="2022-03-17T00:00:00"/>
    <x v="0"/>
    <s v="Auckland"/>
    <s v="New Zealand"/>
    <s v="Suzuki"/>
    <s v="Standard"/>
    <m/>
    <m/>
    <m/>
    <x v="1"/>
  </r>
  <r>
    <n v="374"/>
    <s v="Roadbike"/>
    <n v="550"/>
    <n v="1999"/>
    <s v="CBR"/>
    <s v="Red"/>
    <d v="2022-03-18T00:00:00"/>
    <x v="0"/>
    <s v="Auckland"/>
    <s v="New Zealand"/>
    <s v="Honda"/>
    <s v="Standard"/>
    <m/>
    <m/>
    <m/>
    <x v="1"/>
  </r>
  <r>
    <n v="375"/>
    <s v="Boat Trailer"/>
    <n v="623"/>
    <n v="1996"/>
    <s v="GIBBONS"/>
    <s v="Grey"/>
    <d v="2022-03-18T00:00:00"/>
    <x v="7"/>
    <s v="Northland"/>
    <s v="New Zealand"/>
    <s v="Trailer"/>
    <s v="Standard"/>
    <m/>
    <m/>
    <m/>
    <x v="2"/>
  </r>
  <r>
    <n v="376"/>
    <s v="Trailer"/>
    <n v="623"/>
    <n v="2020"/>
    <s v="DOMESTIC"/>
    <s v="Grey"/>
    <d v="2022-03-18T00:00:00"/>
    <x v="0"/>
    <s v="Auckland"/>
    <s v="New Zealand"/>
    <s v="Trailer"/>
    <s v="Standard"/>
    <m/>
    <m/>
    <m/>
    <x v="2"/>
  </r>
  <r>
    <n v="377"/>
    <s v="Trailer"/>
    <n v="549"/>
    <n v="2020"/>
    <s v="TRAILER"/>
    <s v="Black"/>
    <d v="2022-03-18T00:00:00"/>
    <x v="5"/>
    <s v="Otago"/>
    <s v="New Zealand"/>
    <s v="Homebuilt"/>
    <s v="Standard"/>
    <m/>
    <m/>
    <m/>
    <x v="1"/>
  </r>
  <r>
    <n v="378"/>
    <s v="Roadbike"/>
    <n v="611"/>
    <n v="2008"/>
    <s v="GSX750F"/>
    <s v="Black"/>
    <d v="2022-03-19T00:00:00"/>
    <x v="0"/>
    <s v="Auckland"/>
    <s v="New Zealand"/>
    <s v="Suzuki"/>
    <s v="Standard"/>
    <m/>
    <m/>
    <m/>
    <x v="2"/>
  </r>
  <r>
    <n v="379"/>
    <s v="Roadbike"/>
    <n v="611"/>
    <n v="2009"/>
    <s v="GSX"/>
    <s v="Blue"/>
    <d v="2022-03-19T00:00:00"/>
    <x v="3"/>
    <s v="Canterbury"/>
    <s v="New Zealand"/>
    <s v="Suzuki"/>
    <s v="Standard"/>
    <m/>
    <m/>
    <m/>
    <x v="2"/>
  </r>
  <r>
    <n v="380"/>
    <s v="Trailer"/>
    <n v="623"/>
    <n v="2020"/>
    <s v="BOAT"/>
    <s v="Silver"/>
    <d v="2022-03-19T00:00:00"/>
    <x v="0"/>
    <s v="Auckland"/>
    <s v="New Zealand"/>
    <s v="Trailer"/>
    <s v="Standard"/>
    <m/>
    <m/>
    <m/>
    <x v="2"/>
  </r>
  <r>
    <n v="381"/>
    <s v="Trailer"/>
    <n v="549"/>
    <n v="1998"/>
    <s v="DOMESTIC TRAILER"/>
    <s v="Grey"/>
    <d v="2022-03-19T00:00:00"/>
    <x v="0"/>
    <s v="Auckland"/>
    <s v="New Zealand"/>
    <s v="Homebuilt"/>
    <s v="Standard"/>
    <m/>
    <m/>
    <m/>
    <x v="1"/>
  </r>
  <r>
    <n v="382"/>
    <s v="Trailer"/>
    <n v="623"/>
    <n v="1974"/>
    <s v="PRATTLEY"/>
    <s v="Grey"/>
    <d v="2022-03-19T00:00:00"/>
    <x v="3"/>
    <s v="Canterbury"/>
    <s v="New Zealand"/>
    <s v="Trailer"/>
    <s v="Standard"/>
    <m/>
    <m/>
    <m/>
    <x v="2"/>
  </r>
  <r>
    <n v="383"/>
    <s v="Boat Trailer"/>
    <n v="623"/>
    <n v="2020"/>
    <s v="BOAT"/>
    <s v="Silver"/>
    <d v="2022-03-20T00:00:00"/>
    <x v="0"/>
    <s v="Auckland"/>
    <s v="New Zealand"/>
    <s v="Trailer"/>
    <s v="Standard"/>
    <m/>
    <m/>
    <m/>
    <x v="3"/>
  </r>
  <r>
    <n v="384"/>
    <s v="Trailer"/>
    <n v="623"/>
    <n v="2020"/>
    <s v="JOB MATE 7 X 4"/>
    <s v="Silver"/>
    <d v="2022-03-20T00:00:00"/>
    <x v="1"/>
    <s v="Gisborne"/>
    <s v="New Zealand"/>
    <s v="Trailer"/>
    <s v="Standard"/>
    <m/>
    <m/>
    <m/>
    <x v="3"/>
  </r>
  <r>
    <n v="385"/>
    <s v="Trailer"/>
    <n v="623"/>
    <n v="2020"/>
    <s v="TANDEM"/>
    <s v="Grey"/>
    <d v="2022-03-20T00:00:00"/>
    <x v="3"/>
    <s v="Canterbury"/>
    <s v="New Zealand"/>
    <s v="Trailer"/>
    <s v="Standard"/>
    <m/>
    <m/>
    <m/>
    <x v="3"/>
  </r>
  <r>
    <n v="386"/>
    <s v="Trailer"/>
    <n v="506"/>
    <n v="2020"/>
    <s v="XAS48XD ROAD COMPRES"/>
    <s v="Yellow"/>
    <d v="2022-03-21T00:00:00"/>
    <x v="3"/>
    <s v="Canterbury"/>
    <s v="New Zealand"/>
    <s v="Atlas"/>
    <s v="Standard"/>
    <m/>
    <m/>
    <m/>
    <x v="1"/>
  </r>
  <r>
    <n v="387"/>
    <s v="Moped"/>
    <n v="550"/>
    <n v="2005"/>
    <s v="NVS50"/>
    <s v="Black"/>
    <d v="2022-03-21T00:00:00"/>
    <x v="3"/>
    <s v="Canterbury"/>
    <s v="New Zealand"/>
    <s v="Honda"/>
    <s v="Standard"/>
    <m/>
    <m/>
    <m/>
    <x v="1"/>
  </r>
  <r>
    <n v="388"/>
    <s v="Roadbike"/>
    <n v="545"/>
    <n v="2006"/>
    <s v="XL"/>
    <s v="Black"/>
    <d v="2022-03-21T00:00:00"/>
    <x v="0"/>
    <s v="Auckland"/>
    <s v="New Zealand"/>
    <s v="Harley Davidson"/>
    <s v="Standard"/>
    <m/>
    <m/>
    <m/>
    <x v="1"/>
  </r>
  <r>
    <n v="389"/>
    <s v="Trailer"/>
    <n v="549"/>
    <n v="2020"/>
    <s v="TRAILER"/>
    <s v="Silver"/>
    <d v="2022-03-21T00:00:00"/>
    <x v="2"/>
    <s v="Hawke's Bay"/>
    <s v="New Zealand"/>
    <s v="Homebuilt"/>
    <s v="Standard"/>
    <m/>
    <m/>
    <m/>
    <x v="1"/>
  </r>
  <r>
    <n v="390"/>
    <s v="Trailer"/>
    <n v="623"/>
    <n v="1980"/>
    <s v="HOMEMADE"/>
    <s v="Grey"/>
    <d v="2022-03-21T00:00:00"/>
    <x v="6"/>
    <s v="Manawatū-Whanganui"/>
    <s v="New Zealand"/>
    <s v="Trailer"/>
    <s v="Standard"/>
    <m/>
    <m/>
    <m/>
    <x v="1"/>
  </r>
  <r>
    <n v="391"/>
    <s v="Boat Trailer"/>
    <n v="623"/>
    <n v="2000"/>
    <s v="MUDGWAY"/>
    <s v="Silver"/>
    <d v="2022-03-22T00:00:00"/>
    <x v="5"/>
    <s v="Otago"/>
    <s v="New Zealand"/>
    <s v="Trailer"/>
    <s v="Standard"/>
    <m/>
    <m/>
    <m/>
    <x v="2"/>
  </r>
  <r>
    <n v="392"/>
    <s v="Trailer - Heavy"/>
    <n v="623"/>
    <n v="2020"/>
    <s v="TPM"/>
    <s v="White"/>
    <d v="2022-03-22T00:00:00"/>
    <x v="3"/>
    <s v="Canterbury"/>
    <s v="New Zealand"/>
    <s v="Trailer"/>
    <s v="Standard"/>
    <m/>
    <m/>
    <m/>
    <x v="2"/>
  </r>
  <r>
    <n v="393"/>
    <s v="Trailer"/>
    <n v="623"/>
    <n v="2020"/>
    <s v="PRO AUTO"/>
    <s v="Silver"/>
    <d v="2022-03-23T00:00:00"/>
    <x v="3"/>
    <s v="Canterbury"/>
    <s v="New Zealand"/>
    <s v="Trailer"/>
    <s v="Standard"/>
    <m/>
    <m/>
    <m/>
    <x v="1"/>
  </r>
  <r>
    <n v="394"/>
    <s v="Roadbike"/>
    <n v="611"/>
    <n v="2007"/>
    <s v="UZ"/>
    <s v="Blue"/>
    <d v="2022-03-23T00:00:00"/>
    <x v="0"/>
    <s v="Auckland"/>
    <s v="New Zealand"/>
    <s v="Suzuki"/>
    <s v="Standard"/>
    <m/>
    <m/>
    <m/>
    <x v="1"/>
  </r>
  <r>
    <n v="395"/>
    <s v="Roadbike"/>
    <n v="554"/>
    <n v="2007"/>
    <s v="GT"/>
    <s v="Yellow"/>
    <d v="2022-03-24T00:00:00"/>
    <x v="2"/>
    <s v="Hawke's Bay"/>
    <s v="New Zealand"/>
    <s v="Hyosung"/>
    <s v="Standard"/>
    <m/>
    <m/>
    <m/>
    <x v="1"/>
  </r>
  <r>
    <n v="396"/>
    <s v="Moped"/>
    <n v="611"/>
    <n v="2009"/>
    <s v="UZ50"/>
    <s v="Orange"/>
    <d v="2022-03-24T00:00:00"/>
    <x v="0"/>
    <s v="Auckland"/>
    <s v="New Zealand"/>
    <s v="Suzuki"/>
    <s v="Standard"/>
    <m/>
    <m/>
    <m/>
    <x v="1"/>
  </r>
  <r>
    <n v="397"/>
    <s v="Trailer"/>
    <n v="623"/>
    <n v="2016"/>
    <s v="FOXENG 850"/>
    <s v="Silver"/>
    <d v="2022-03-24T00:00:00"/>
    <x v="8"/>
    <s v="Bay of Plenty"/>
    <s v="New Zealand"/>
    <s v="Trailer"/>
    <s v="Standard"/>
    <m/>
    <m/>
    <m/>
    <x v="0"/>
  </r>
  <r>
    <n v="398"/>
    <s v="Trailer"/>
    <n v="623"/>
    <n v="2016"/>
    <s v="8X4"/>
    <s v="Silver"/>
    <d v="2022-03-24T00:00:00"/>
    <x v="5"/>
    <s v="Otago"/>
    <s v="New Zealand"/>
    <s v="Trailer"/>
    <s v="Standard"/>
    <m/>
    <m/>
    <m/>
    <x v="0"/>
  </r>
  <r>
    <n v="399"/>
    <s v="Trailer"/>
    <n v="623"/>
    <n v="2016"/>
    <s v="ROAD CHIEF TR74CS/1"/>
    <s v="Silver"/>
    <d v="2022-03-24T00:00:00"/>
    <x v="4"/>
    <s v="Wellington"/>
    <s v="New Zealand"/>
    <s v="Trailer"/>
    <s v="Standard"/>
    <m/>
    <m/>
    <m/>
    <x v="0"/>
  </r>
  <r>
    <n v="400"/>
    <s v="Boat Trailer"/>
    <n v="623"/>
    <n v="1975"/>
    <s v="REID"/>
    <s v="Grey"/>
    <d v="2022-03-24T00:00:00"/>
    <x v="10"/>
    <s v="Nelson"/>
    <s v="New Zealand"/>
    <s v="Trailer"/>
    <s v="Standard"/>
    <m/>
    <m/>
    <m/>
    <x v="0"/>
  </r>
  <r>
    <n v="401"/>
    <s v="Trailer"/>
    <n v="623"/>
    <n v="2011"/>
    <s v="TANDEM"/>
    <s v="Silver"/>
    <d v="2022-03-24T00:00:00"/>
    <x v="7"/>
    <s v="Northland"/>
    <s v="New Zealand"/>
    <s v="Trailer"/>
    <s v="Standard"/>
    <m/>
    <m/>
    <m/>
    <x v="0"/>
  </r>
  <r>
    <n v="402"/>
    <s v="Trailer"/>
    <n v="538"/>
    <n v="2017"/>
    <s v="BRENT SMITH TRAILERS"/>
    <s v="Silver"/>
    <d v="2022-03-24T00:00:00"/>
    <x v="0"/>
    <s v="Auckland"/>
    <s v="New Zealand"/>
    <s v="Factory Built"/>
    <s v="Standard"/>
    <m/>
    <m/>
    <m/>
    <x v="1"/>
  </r>
  <r>
    <n v="403"/>
    <s v="Trailer"/>
    <n v="623"/>
    <n v="2017"/>
    <s v="CAR"/>
    <s v="Black"/>
    <d v="2022-03-25T00:00:00"/>
    <x v="5"/>
    <s v="Otago"/>
    <s v="New Zealand"/>
    <s v="Trailer"/>
    <s v="Standard"/>
    <m/>
    <m/>
    <m/>
    <x v="3"/>
  </r>
  <r>
    <n v="404"/>
    <s v="Trailer - Heavy"/>
    <n v="623"/>
    <n v="1960"/>
    <s v="LOCAL"/>
    <s v="Grey"/>
    <d v="2022-03-25T00:00:00"/>
    <x v="3"/>
    <s v="Canterbury"/>
    <s v="New Zealand"/>
    <s v="Trailer"/>
    <s v="Standard"/>
    <m/>
    <m/>
    <m/>
    <x v="3"/>
  </r>
  <r>
    <n v="405"/>
    <s v="Trailer"/>
    <n v="623"/>
    <n v="2017"/>
    <s v="TRAILER PRO"/>
    <s v="Silver"/>
    <d v="2022-03-25T00:00:00"/>
    <x v="0"/>
    <s v="Auckland"/>
    <s v="New Zealand"/>
    <s v="Trailer"/>
    <s v="Standard"/>
    <m/>
    <m/>
    <m/>
    <x v="3"/>
  </r>
  <r>
    <n v="406"/>
    <s v="Trailer"/>
    <n v="538"/>
    <n v="2017"/>
    <s v="TRAILUX TRAILER"/>
    <s v="Silver"/>
    <d v="2022-03-26T00:00:00"/>
    <x v="4"/>
    <s v="Wellington"/>
    <s v="New Zealand"/>
    <s v="Factory Built"/>
    <s v="Standard"/>
    <m/>
    <m/>
    <m/>
    <x v="1"/>
  </r>
  <r>
    <n v="407"/>
    <s v="Trailer"/>
    <n v="616"/>
    <n v="2017"/>
    <s v="10 X 5"/>
    <s v="Silver"/>
    <d v="2022-03-26T00:00:00"/>
    <x v="4"/>
    <s v="Wellington"/>
    <s v="New Zealand"/>
    <s v="Titan"/>
    <s v="Standard"/>
    <m/>
    <m/>
    <m/>
    <x v="1"/>
  </r>
  <r>
    <n v="408"/>
    <s v="Trailer"/>
    <n v="623"/>
    <n v="2017"/>
    <s v="HAULER 7X4 TIPPING"/>
    <s v="Silver"/>
    <d v="2022-03-26T00:00:00"/>
    <x v="11"/>
    <s v="Taranaki"/>
    <s v="New Zealand"/>
    <s v="Trailer"/>
    <s v="Standard"/>
    <m/>
    <m/>
    <m/>
    <x v="1"/>
  </r>
  <r>
    <n v="409"/>
    <s v="Boat Trailer"/>
    <n v="623"/>
    <n v="2017"/>
    <s v="RB"/>
    <s v="Silver"/>
    <d v="2022-03-27T00:00:00"/>
    <x v="2"/>
    <s v="Hawke's Bay"/>
    <s v="New Zealand"/>
    <s v="Trailer"/>
    <s v="Standard"/>
    <m/>
    <m/>
    <m/>
    <x v="1"/>
  </r>
  <r>
    <n v="410"/>
    <s v="Trailer - Heavy"/>
    <n v="623"/>
    <n v="2017"/>
    <s v="EXCAVATOR TRAILER"/>
    <s v="Silver"/>
    <d v="2022-03-28T00:00:00"/>
    <x v="0"/>
    <s v="Auckland"/>
    <s v="New Zealand"/>
    <s v="Trailer"/>
    <s v="Standard"/>
    <m/>
    <m/>
    <m/>
    <x v="3"/>
  </r>
  <r>
    <n v="411"/>
    <s v="Trailer"/>
    <n v="623"/>
    <n v="2017"/>
    <s v="FOOD CART"/>
    <s v="Silver"/>
    <d v="2022-03-28T00:00:00"/>
    <x v="10"/>
    <s v="Nelson"/>
    <s v="New Zealand"/>
    <s v="Trailer"/>
    <s v="Standard"/>
    <m/>
    <m/>
    <m/>
    <x v="3"/>
  </r>
  <r>
    <n v="412"/>
    <s v="Trailer"/>
    <n v="623"/>
    <n v="2017"/>
    <s v="VULCAN"/>
    <s v="Silver"/>
    <d v="2022-03-28T00:00:00"/>
    <x v="0"/>
    <s v="Auckland"/>
    <s v="New Zealand"/>
    <s v="Trailer"/>
    <s v="Standard"/>
    <m/>
    <m/>
    <m/>
    <x v="3"/>
  </r>
  <r>
    <n v="413"/>
    <s v="Trailer"/>
    <n v="549"/>
    <n v="2017"/>
    <s v="TRAILER"/>
    <s v="Black"/>
    <d v="2022-03-28T00:00:00"/>
    <x v="8"/>
    <s v="Bay of Plenty"/>
    <s v="New Zealand"/>
    <s v="Homebuilt"/>
    <s v="Standard"/>
    <m/>
    <m/>
    <m/>
    <x v="1"/>
  </r>
  <r>
    <n v="414"/>
    <s v="Caravan"/>
    <n v="519"/>
    <n v="2002"/>
    <s v="COMPASS OMEGA 534"/>
    <s v="White"/>
    <d v="2022-03-28T00:00:00"/>
    <x v="7"/>
    <s v="Northland"/>
    <s v="New Zealand"/>
    <s v="Caravan"/>
    <s v="Standard"/>
    <m/>
    <m/>
    <m/>
    <x v="1"/>
  </r>
  <r>
    <n v="415"/>
    <s v="Trailer - Heavy"/>
    <n v="623"/>
    <n v="2017"/>
    <s v="GT TRAILER"/>
    <s v="Silver"/>
    <d v="2022-03-29T00:00:00"/>
    <x v="0"/>
    <s v="Auckland"/>
    <s v="New Zealand"/>
    <s v="Trailer"/>
    <s v="Standard"/>
    <m/>
    <m/>
    <m/>
    <x v="2"/>
  </r>
  <r>
    <n v="416"/>
    <s v="Trailer"/>
    <n v="623"/>
    <n v="2017"/>
    <s v="ELITE 7X4"/>
    <s v="Silver"/>
    <d v="2022-03-29T00:00:00"/>
    <x v="3"/>
    <s v="Canterbury"/>
    <s v="New Zealand"/>
    <s v="Trailer"/>
    <s v="Standard"/>
    <m/>
    <m/>
    <m/>
    <x v="2"/>
  </r>
  <r>
    <n v="417"/>
    <s v="Boat Trailer"/>
    <n v="623"/>
    <n v="2002"/>
    <s v="VOYAGER A16M"/>
    <s v="Silver"/>
    <d v="2022-03-30T00:00:00"/>
    <x v="8"/>
    <s v="Bay of Plenty"/>
    <s v="New Zealand"/>
    <s v="Trailer"/>
    <s v="Standard"/>
    <m/>
    <m/>
    <m/>
    <x v="3"/>
  </r>
  <r>
    <n v="418"/>
    <s v="Trailer"/>
    <n v="623"/>
    <n v="2020"/>
    <s v="TUFF"/>
    <s v="Silver"/>
    <d v="2022-03-30T00:00:00"/>
    <x v="6"/>
    <s v="Manawatū-Whanganui"/>
    <s v="New Zealand"/>
    <s v="Trailer"/>
    <s v="Standard"/>
    <m/>
    <m/>
    <m/>
    <x v="3"/>
  </r>
  <r>
    <n v="419"/>
    <s v="Trailer"/>
    <n v="514"/>
    <n v="2020"/>
    <s v="8X4"/>
    <s v="Silver"/>
    <d v="2022-03-30T00:00:00"/>
    <x v="3"/>
    <s v="Canterbury"/>
    <s v="New Zealand"/>
    <s v="Briford"/>
    <s v="Standard"/>
    <m/>
    <m/>
    <m/>
    <x v="1"/>
  </r>
  <r>
    <n v="420"/>
    <s v="Trailer - Heavy"/>
    <n v="549"/>
    <n v="1987"/>
    <s v="HOMEMADE"/>
    <s v="Green"/>
    <d v="2022-03-30T00:00:00"/>
    <x v="3"/>
    <s v="Canterbury"/>
    <s v="New Zealand"/>
    <s v="Homebuilt"/>
    <s v="Standard"/>
    <m/>
    <m/>
    <m/>
    <x v="1"/>
  </r>
  <r>
    <n v="421"/>
    <s v="Boat Trailer"/>
    <n v="623"/>
    <n v="2020"/>
    <s v="WAVERUNNER"/>
    <s v="Silver"/>
    <d v="2022-03-30T00:00:00"/>
    <x v="3"/>
    <s v="Canterbury"/>
    <s v="New Zealand"/>
    <s v="Trailer"/>
    <s v="Standard"/>
    <m/>
    <m/>
    <m/>
    <x v="3"/>
  </r>
  <r>
    <n v="422"/>
    <s v="Trailer"/>
    <n v="623"/>
    <n v="2020"/>
    <s v="TUFF"/>
    <s v="Silver"/>
    <d v="2022-03-31T00:00:00"/>
    <x v="4"/>
    <s v="Wellington"/>
    <s v="New Zealand"/>
    <s v="Trailer"/>
    <s v="Standard"/>
    <m/>
    <m/>
    <m/>
    <x v="3"/>
  </r>
  <r>
    <n v="423"/>
    <s v="Trailer"/>
    <n v="623"/>
    <n v="2020"/>
    <s v="TUFF"/>
    <s v="Silver"/>
    <d v="2022-03-31T00:00:00"/>
    <x v="8"/>
    <s v="Bay of Plenty"/>
    <s v="New Zealand"/>
    <s v="Trailer"/>
    <s v="Standard"/>
    <m/>
    <m/>
    <m/>
    <x v="3"/>
  </r>
  <r>
    <n v="424"/>
    <s v="Trailer"/>
    <n v="623"/>
    <n v="2020"/>
    <s v="TRAYLA"/>
    <s v="Silver"/>
    <d v="2022-03-31T00:00:00"/>
    <x v="9"/>
    <s v="Waikato"/>
    <s v="New Zealand"/>
    <s v="Trailer"/>
    <s v="Standard"/>
    <m/>
    <m/>
    <m/>
    <x v="3"/>
  </r>
  <r>
    <n v="425"/>
    <s v="Trailer"/>
    <n v="562"/>
    <n v="2020"/>
    <s v="KC95"/>
    <s v="Silver"/>
    <d v="2022-03-31T00:00:00"/>
    <x v="9"/>
    <s v="Waikato"/>
    <s v="New Zealand"/>
    <s v="Kea"/>
    <s v="Standard"/>
    <m/>
    <m/>
    <m/>
    <x v="1"/>
  </r>
  <r>
    <n v="426"/>
    <s v="Caravan"/>
    <n v="519"/>
    <n v="2009"/>
    <s v="LUNAR"/>
    <s v="White"/>
    <d v="2022-03-31T00:00:00"/>
    <x v="3"/>
    <s v="Canterbury"/>
    <s v="New Zealand"/>
    <s v="Caravan"/>
    <s v="Standard"/>
    <m/>
    <m/>
    <m/>
    <x v="1"/>
  </r>
  <r>
    <n v="427"/>
    <s v="Saloon"/>
    <n v="512"/>
    <n v="2014"/>
    <s v="730I"/>
    <s v="White"/>
    <d v="2022-04-01T00:00:00"/>
    <x v="0"/>
    <s v="Auckland"/>
    <s v="New Zealand"/>
    <s v="BMW"/>
    <s v="Luxury"/>
    <m/>
    <m/>
    <m/>
    <x v="1"/>
  </r>
  <r>
    <n v="428"/>
    <s v="Boat Trailer"/>
    <n v="623"/>
    <n v="1980"/>
    <s v="BOAT TRAILER"/>
    <s v="Grey"/>
    <d v="2022-04-01T00:00:00"/>
    <x v="8"/>
    <s v="Bay of Plenty"/>
    <s v="New Zealand"/>
    <s v="Trailer"/>
    <s v="Standard"/>
    <m/>
    <m/>
    <m/>
    <x v="2"/>
  </r>
  <r>
    <n v="429"/>
    <s v="Caravan"/>
    <n v="519"/>
    <n v="2010"/>
    <s v="SWIFT CHALLENGER 570"/>
    <s v="White"/>
    <d v="2022-04-01T00:00:00"/>
    <x v="3"/>
    <s v="Canterbury"/>
    <s v="New Zealand"/>
    <s v="Caravan"/>
    <s v="Standard"/>
    <m/>
    <m/>
    <m/>
    <x v="1"/>
  </r>
  <r>
    <n v="430"/>
    <s v="Trailer"/>
    <n v="623"/>
    <n v="1979"/>
    <s v="OLEARY"/>
    <s v="Yellow"/>
    <d v="2022-04-01T00:00:00"/>
    <x v="4"/>
    <s v="Wellington"/>
    <s v="New Zealand"/>
    <s v="Trailer"/>
    <s v="Standard"/>
    <m/>
    <m/>
    <m/>
    <x v="2"/>
  </r>
  <r>
    <n v="431"/>
    <s v="Caravan"/>
    <n v="609"/>
    <n v="2005"/>
    <s v="ECCLES"/>
    <s v="White"/>
    <d v="2022-04-01T00:00:00"/>
    <x v="0"/>
    <s v="Auckland"/>
    <s v="New Zealand"/>
    <s v="Sterling"/>
    <s v="Standard"/>
    <m/>
    <m/>
    <m/>
    <x v="1"/>
  </r>
  <r>
    <n v="432"/>
    <s v="Roadbike"/>
    <n v="636"/>
    <n v="2004"/>
    <s v="FZS"/>
    <s v="Silver"/>
    <d v="2022-04-02T00:00:00"/>
    <x v="3"/>
    <s v="Canterbury"/>
    <s v="New Zealand"/>
    <s v="Yamaha"/>
    <s v="Standard"/>
    <m/>
    <m/>
    <m/>
    <x v="1"/>
  </r>
  <r>
    <n v="433"/>
    <s v="Trailer"/>
    <n v="623"/>
    <n v="1981"/>
    <s v="DOMESTIC TRAILER"/>
    <s v="Yellow"/>
    <d v="2022-04-02T00:00:00"/>
    <x v="0"/>
    <s v="Auckland"/>
    <s v="New Zealand"/>
    <s v="Trailer"/>
    <s v="Standard"/>
    <m/>
    <m/>
    <m/>
    <x v="1"/>
  </r>
  <r>
    <n v="434"/>
    <s v="Roadbike"/>
    <n v="631"/>
    <n v="2007"/>
    <s v="8-BALL"/>
    <s v="Black"/>
    <d v="2022-04-02T00:00:00"/>
    <x v="10"/>
    <s v="Nelson"/>
    <s v="New Zealand"/>
    <s v="Victory"/>
    <s v="Standard"/>
    <m/>
    <m/>
    <m/>
    <x v="1"/>
  </r>
  <r>
    <n v="435"/>
    <s v="Moped"/>
    <n v="585"/>
    <n v="2008"/>
    <s v="FACTORY BUILT"/>
    <s v="Gold"/>
    <d v="2022-04-03T00:00:00"/>
    <x v="4"/>
    <s v="Wellington"/>
    <s v="New Zealand"/>
    <s v="Moped"/>
    <s v="Standard"/>
    <m/>
    <m/>
    <m/>
    <x v="1"/>
  </r>
  <r>
    <n v="436"/>
    <s v="Trailer"/>
    <n v="514"/>
    <n v="1999"/>
    <s v="7X4"/>
    <s v="Silver"/>
    <d v="2022-04-03T00:00:00"/>
    <x v="3"/>
    <s v="Canterbury"/>
    <s v="New Zealand"/>
    <s v="Briford"/>
    <s v="Standard"/>
    <m/>
    <m/>
    <m/>
    <x v="1"/>
  </r>
  <r>
    <n v="437"/>
    <s v="Trailer"/>
    <n v="623"/>
    <n v="1967"/>
    <s v="LOCAL"/>
    <s v="Red"/>
    <d v="2022-04-03T00:00:00"/>
    <x v="9"/>
    <s v="Waikato"/>
    <s v="New Zealand"/>
    <s v="Trailer"/>
    <s v="Standard"/>
    <m/>
    <m/>
    <m/>
    <x v="1"/>
  </r>
  <r>
    <n v="438"/>
    <s v="Trailer"/>
    <n v="624"/>
    <n v="2020"/>
    <s v="ELITE 8X4"/>
    <s v="Silver"/>
    <d v="2022-04-03T00:00:00"/>
    <x v="10"/>
    <s v="Nelson"/>
    <s v="New Zealand"/>
    <s v="Trike"/>
    <s v="Standard"/>
    <m/>
    <m/>
    <m/>
    <x v="1"/>
  </r>
  <r>
    <n v="439"/>
    <s v="Trailer"/>
    <n v="623"/>
    <n v="2020"/>
    <s v="DOMESTIC TRAILER"/>
    <s v="Silver"/>
    <d v="2022-04-04T00:00:00"/>
    <x v="8"/>
    <s v="Bay of Plenty"/>
    <s v="New Zealand"/>
    <s v="Trailer"/>
    <s v="Standard"/>
    <m/>
    <m/>
    <m/>
    <x v="2"/>
  </r>
  <r>
    <n v="440"/>
    <s v="Trailer"/>
    <n v="623"/>
    <n v="2020"/>
    <s v="D-MAX FLATDECK"/>
    <s v="Silver"/>
    <d v="2022-04-04T00:00:00"/>
    <x v="4"/>
    <s v="Wellington"/>
    <s v="New Zealand"/>
    <s v="Trailer"/>
    <s v="Standard"/>
    <m/>
    <m/>
    <m/>
    <x v="2"/>
  </r>
  <r>
    <n v="441"/>
    <s v="Roadbike"/>
    <n v="550"/>
    <n v="2003"/>
    <s v="MAGNA"/>
    <s v="Silver"/>
    <d v="2022-04-04T00:00:00"/>
    <x v="0"/>
    <s v="Auckland"/>
    <s v="New Zealand"/>
    <s v="Honda"/>
    <s v="Standard"/>
    <m/>
    <m/>
    <m/>
    <x v="1"/>
  </r>
  <r>
    <n v="442"/>
    <s v="Trailer"/>
    <n v="562"/>
    <n v="2000"/>
    <s v="KC846"/>
    <s v="Silver"/>
    <d v="2022-05-01T00:00:00"/>
    <x v="9"/>
    <s v="Waikato"/>
    <s v="New Zealand"/>
    <s v="Kea"/>
    <s v="Standard"/>
    <m/>
    <m/>
    <m/>
    <x v="1"/>
  </r>
  <r>
    <n v="443"/>
    <s v="Trailer"/>
    <n v="623"/>
    <n v="1972"/>
    <s v="LOCAL"/>
    <s v="Blue"/>
    <d v="2022-05-01T00:00:00"/>
    <x v="6"/>
    <s v="Manawatū-Whanganui"/>
    <s v="New Zealand"/>
    <s v="Trailer"/>
    <s v="Standard"/>
    <m/>
    <m/>
    <m/>
    <x v="1"/>
  </r>
  <r>
    <n v="444"/>
    <s v="Trailer"/>
    <n v="549"/>
    <n v="1992"/>
    <s v="TANDEM TRAILER"/>
    <s v="White"/>
    <d v="2022-05-01T00:00:00"/>
    <x v="3"/>
    <s v="Canterbury"/>
    <s v="New Zealand"/>
    <s v="Homebuilt"/>
    <s v="Standard"/>
    <m/>
    <m/>
    <m/>
    <x v="1"/>
  </r>
  <r>
    <n v="445"/>
    <s v="Trailer"/>
    <n v="623"/>
    <n v="2020"/>
    <s v="HOMEBUILT"/>
    <s v="Silver"/>
    <d v="2022-05-02T00:00:00"/>
    <x v="7"/>
    <s v="Northland"/>
    <s v="New Zealand"/>
    <s v="Trailer"/>
    <s v="Standard"/>
    <m/>
    <m/>
    <m/>
    <x v="1"/>
  </r>
  <r>
    <n v="446"/>
    <s v="Trailer"/>
    <n v="623"/>
    <n v="2020"/>
    <s v="ELITE"/>
    <s v="Silver"/>
    <d v="2022-05-03T00:00:00"/>
    <x v="3"/>
    <s v="Canterbury"/>
    <s v="New Zealand"/>
    <s v="Trailer"/>
    <s v="Standard"/>
    <m/>
    <m/>
    <m/>
    <x v="1"/>
  </r>
  <r>
    <n v="447"/>
    <s v="Roadbike"/>
    <n v="594"/>
    <n v="1997"/>
    <s v="VESPA"/>
    <s v="Grey"/>
    <d v="2022-05-03T00:00:00"/>
    <x v="0"/>
    <s v="Auckland"/>
    <s v="New Zealand"/>
    <s v="Piaggio"/>
    <s v="Standard"/>
    <m/>
    <m/>
    <m/>
    <x v="1"/>
  </r>
  <r>
    <n v="448"/>
    <s v="Boat Trailer"/>
    <n v="623"/>
    <n v="2020"/>
    <s v="CRUISER"/>
    <s v="Silver"/>
    <d v="2022-05-04T00:00:00"/>
    <x v="0"/>
    <s v="Auckland"/>
    <s v="New Zealand"/>
    <s v="Trailer"/>
    <s v="Standard"/>
    <m/>
    <m/>
    <m/>
    <x v="2"/>
  </r>
  <r>
    <n v="449"/>
    <s v="Trailer"/>
    <n v="572"/>
    <n v="2020"/>
    <s v="TRAILER"/>
    <s v="Silver"/>
    <d v="2022-05-04T00:00:00"/>
    <x v="3"/>
    <s v="Canterbury"/>
    <s v="New Zealand"/>
    <s v="Lochiel"/>
    <s v="Standard"/>
    <m/>
    <m/>
    <m/>
    <x v="1"/>
  </r>
  <r>
    <n v="450"/>
    <s v="Trailer"/>
    <n v="623"/>
    <n v="1982"/>
    <s v="CUSTOMS BUIL"/>
    <s v="Orange"/>
    <d v="2022-05-04T00:00:00"/>
    <x v="7"/>
    <s v="Northland"/>
    <s v="New Zealand"/>
    <s v="Trailer"/>
    <s v="Standard"/>
    <m/>
    <m/>
    <m/>
    <x v="2"/>
  </r>
  <r>
    <n v="451"/>
    <s v="Trailer"/>
    <n v="514"/>
    <n v="2020"/>
    <s v="8X5"/>
    <s v="Silver"/>
    <d v="2022-05-04T00:00:00"/>
    <x v="5"/>
    <s v="Otago"/>
    <s v="New Zealand"/>
    <s v="Briford"/>
    <s v="Standard"/>
    <m/>
    <m/>
    <m/>
    <x v="2"/>
  </r>
  <r>
    <n v="452"/>
    <s v="Trailer"/>
    <n v="514"/>
    <n v="2015"/>
    <s v="8X4 TANDEM"/>
    <s v="Silver"/>
    <d v="2022-05-04T00:00:00"/>
    <x v="3"/>
    <s v="Canterbury"/>
    <s v="New Zealand"/>
    <s v="Briford"/>
    <s v="Standard"/>
    <m/>
    <m/>
    <m/>
    <x v="2"/>
  </r>
  <r>
    <n v="453"/>
    <s v="Roadbike"/>
    <n v="611"/>
    <n v="2004"/>
    <s v="SJ125"/>
    <s v="Red"/>
    <d v="2022-06-01T00:00:00"/>
    <x v="3"/>
    <s v="Canterbury"/>
    <s v="New Zealand"/>
    <s v="Suzuki"/>
    <s v="Standard"/>
    <m/>
    <m/>
    <m/>
    <x v="1"/>
  </r>
  <r>
    <n v="454"/>
    <s v="Moped"/>
    <n v="636"/>
    <n v="1999"/>
    <s v="JOG"/>
    <s v="Black"/>
    <d v="2022-06-01T00:00:00"/>
    <x v="11"/>
    <s v="Taranaki"/>
    <s v="New Zealand"/>
    <s v="Yamaha"/>
    <s v="Standard"/>
    <m/>
    <m/>
    <m/>
    <x v="1"/>
  </r>
  <r>
    <n v="455"/>
    <s v="Trailer - Heavy"/>
    <n v="623"/>
    <n v="1998"/>
    <s v="GT PRODUCTS"/>
    <s v="Grey"/>
    <d v="2022-06-01T00:00:00"/>
    <x v="0"/>
    <s v="Auckland"/>
    <s v="New Zealand"/>
    <s v="Trailer"/>
    <s v="Standard"/>
    <m/>
    <m/>
    <m/>
    <x v="2"/>
  </r>
  <r>
    <n v="456"/>
    <s v="Caravan"/>
    <n v="519"/>
    <n v="1977"/>
    <s v="CI MUNRO"/>
    <s v="White"/>
    <d v="2022-06-01T00:00:00"/>
    <x v="0"/>
    <s v="Auckland"/>
    <s v="New Zealand"/>
    <s v="Caravan"/>
    <s v="Standard"/>
    <m/>
    <m/>
    <m/>
    <x v="1"/>
  </r>
  <r>
    <n v="457"/>
    <s v="Trailer"/>
    <n v="623"/>
    <n v="2020"/>
    <s v="TRAYLA"/>
    <s v="Silver"/>
    <d v="2022-06-01T00:00:00"/>
    <x v="8"/>
    <s v="Bay of Plenty"/>
    <s v="New Zealand"/>
    <s v="Trailer"/>
    <s v="Standard"/>
    <m/>
    <m/>
    <m/>
    <x v="2"/>
  </r>
  <r>
    <n v="458"/>
    <s v="Boat Trailer"/>
    <n v="623"/>
    <n v="2020"/>
    <s v="ASD JET SKI"/>
    <s v="Silver"/>
    <d v="2022-06-02T00:00:00"/>
    <x v="8"/>
    <s v="Bay of Plenty"/>
    <s v="New Zealand"/>
    <s v="Trailer"/>
    <s v="Standard"/>
    <m/>
    <m/>
    <m/>
    <x v="1"/>
  </r>
  <r>
    <n v="459"/>
    <s v="Roadbike"/>
    <n v="636"/>
    <n v="2001"/>
    <s v="XV250SL"/>
    <s v="Red"/>
    <d v="2022-06-02T00:00:00"/>
    <x v="0"/>
    <s v="Auckland"/>
    <s v="New Zealand"/>
    <s v="Yamaha"/>
    <s v="Standard"/>
    <m/>
    <m/>
    <m/>
    <x v="1"/>
  </r>
  <r>
    <n v="460"/>
    <s v="Trailer"/>
    <n v="623"/>
    <n v="1999"/>
    <s v="LIGHT"/>
    <s v="Silver"/>
    <d v="2022-06-03T00:00:00"/>
    <x v="8"/>
    <s v="Bay of Plenty"/>
    <s v="New Zealand"/>
    <s v="Trailer"/>
    <s v="Standard"/>
    <m/>
    <m/>
    <m/>
    <x v="2"/>
  </r>
  <r>
    <n v="461"/>
    <s v="Boat Trailer"/>
    <n v="623"/>
    <n v="2020"/>
    <s v="MAKZ"/>
    <s v="Silver"/>
    <d v="2022-06-03T00:00:00"/>
    <x v="4"/>
    <s v="Wellington"/>
    <s v="New Zealand"/>
    <s v="Trailer"/>
    <s v="Standard"/>
    <m/>
    <m/>
    <m/>
    <x v="2"/>
  </r>
  <r>
    <n v="462"/>
    <s v="Trailer"/>
    <n v="623"/>
    <n v="2020"/>
    <s v="ENSOL TANKER"/>
    <s v="Silver"/>
    <d v="2022-07-01T00:00:00"/>
    <x v="4"/>
    <s v="Wellington"/>
    <s v="New Zealand"/>
    <s v="Trailer"/>
    <s v="Standard"/>
    <m/>
    <m/>
    <m/>
    <x v="2"/>
  </r>
  <r>
    <n v="463"/>
    <s v="Trailer"/>
    <n v="623"/>
    <n v="2021"/>
    <s v="HOMEMADE"/>
    <s v="Silver"/>
    <d v="2022-07-01T00:00:00"/>
    <x v="5"/>
    <s v="Otago"/>
    <s v="New Zealand"/>
    <s v="Trailer"/>
    <s v="Standard"/>
    <m/>
    <m/>
    <m/>
    <x v="2"/>
  </r>
  <r>
    <n v="464"/>
    <s v="Trailer"/>
    <n v="549"/>
    <n v="2021"/>
    <s v="TRAILER"/>
    <s v="Black"/>
    <d v="2022-07-03T00:00:00"/>
    <x v="7"/>
    <s v="Northland"/>
    <s v="New Zealand"/>
    <s v="Homebuilt"/>
    <s v="Standard"/>
    <m/>
    <m/>
    <m/>
    <x v="1"/>
  </r>
  <r>
    <n v="465"/>
    <s v="Trailer"/>
    <n v="623"/>
    <n v="2019"/>
    <s v="DOMESTIC"/>
    <s v="Grey"/>
    <d v="2022-07-03T00:00:00"/>
    <x v="9"/>
    <s v="Waikato"/>
    <s v="New Zealand"/>
    <s v="Trailer"/>
    <s v="Standard"/>
    <m/>
    <m/>
    <m/>
    <x v="1"/>
  </r>
  <r>
    <n v="466"/>
    <s v="Roadbike"/>
    <n v="505"/>
    <n v="2008"/>
    <s v="SXV"/>
    <s v="Black"/>
    <d v="2022-07-03T00:00:00"/>
    <x v="3"/>
    <s v="Canterbury"/>
    <s v="New Zealand"/>
    <s v="Aprilia"/>
    <s v="Standard"/>
    <m/>
    <m/>
    <m/>
    <x v="1"/>
  </r>
  <r>
    <n v="467"/>
    <s v="Roadbike"/>
    <n v="550"/>
    <n v="2009"/>
    <s v="CB"/>
    <s v="Silver"/>
    <d v="2022-07-03T00:00:00"/>
    <x v="3"/>
    <s v="Canterbury"/>
    <s v="New Zealand"/>
    <s v="Honda"/>
    <s v="Standard"/>
    <m/>
    <m/>
    <m/>
    <x v="1"/>
  </r>
  <r>
    <n v="468"/>
    <s v="Trailer - Heavy"/>
    <n v="558"/>
    <n v="2017"/>
    <s v="STARCRAFT"/>
    <s v="White"/>
    <d v="2022-08-01T00:00:00"/>
    <x v="0"/>
    <s v="Auckland"/>
    <s v="New Zealand"/>
    <s v="Jayco"/>
    <s v="Standard"/>
    <m/>
    <m/>
    <m/>
    <x v="1"/>
  </r>
  <r>
    <n v="469"/>
    <s v="Trailer"/>
    <n v="623"/>
    <n v="2017"/>
    <s v="BES1500"/>
    <s v="Silver"/>
    <d v="2022-08-02T00:00:00"/>
    <x v="0"/>
    <s v="Auckland"/>
    <s v="New Zealand"/>
    <s v="Trailer"/>
    <s v="Standard"/>
    <m/>
    <m/>
    <m/>
    <x v="2"/>
  </r>
  <r>
    <n v="470"/>
    <s v="Trailer"/>
    <n v="623"/>
    <n v="2017"/>
    <s v="PL27084 ACCESS"/>
    <s v="Silver"/>
    <d v="2022-08-02T00:00:00"/>
    <x v="0"/>
    <s v="Auckland"/>
    <s v="New Zealand"/>
    <s v="Trailer"/>
    <s v="Standard"/>
    <m/>
    <m/>
    <m/>
    <x v="2"/>
  </r>
  <r>
    <n v="471"/>
    <s v="Trailer"/>
    <n v="514"/>
    <n v="2017"/>
    <s v="TRAILER 8X4"/>
    <s v="Silver"/>
    <d v="2022-08-03T00:00:00"/>
    <x v="9"/>
    <s v="Waikato"/>
    <s v="New Zealand"/>
    <s v="Briford"/>
    <s v="Standard"/>
    <m/>
    <m/>
    <m/>
    <x v="2"/>
  </r>
  <r>
    <n v="472"/>
    <s v="Trailer"/>
    <n v="623"/>
    <n v="2017"/>
    <s v="TRANSPORT MGE"/>
    <s v="Silver"/>
    <d v="2022-08-03T00:00:00"/>
    <x v="9"/>
    <s v="Waikato"/>
    <s v="New Zealand"/>
    <s v="Trailer"/>
    <s v="Standard"/>
    <m/>
    <m/>
    <m/>
    <x v="3"/>
  </r>
  <r>
    <n v="473"/>
    <s v="Trailer"/>
    <n v="623"/>
    <n v="2017"/>
    <s v="TUI"/>
    <s v="Silver"/>
    <d v="2022-08-03T00:00:00"/>
    <x v="11"/>
    <s v="Taranaki"/>
    <s v="New Zealand"/>
    <s v="Trailer"/>
    <s v="Standard"/>
    <m/>
    <m/>
    <m/>
    <x v="3"/>
  </r>
  <r>
    <n v="474"/>
    <s v="Trailer"/>
    <n v="514"/>
    <n v="2017"/>
    <s v="8X4"/>
    <s v="Silver"/>
    <d v="2022-08-03T00:00:00"/>
    <x v="5"/>
    <s v="Otago"/>
    <s v="New Zealand"/>
    <s v="Briford"/>
    <s v="Standard"/>
    <m/>
    <m/>
    <m/>
    <x v="2"/>
  </r>
  <r>
    <n v="475"/>
    <s v="Trailer"/>
    <n v="549"/>
    <n v="1976"/>
    <s v="TRAILER"/>
    <s v="White"/>
    <d v="2022-08-03T00:00:00"/>
    <x v="8"/>
    <s v="Bay of Plenty"/>
    <s v="New Zealand"/>
    <s v="Homebuilt"/>
    <s v="Standard"/>
    <m/>
    <m/>
    <m/>
    <x v="1"/>
  </r>
  <r>
    <n v="476"/>
    <s v="Trailer"/>
    <n v="623"/>
    <n v="2017"/>
    <s v="VULCAN C8X5T"/>
    <s v="Silver"/>
    <d v="2022-08-03T00:00:00"/>
    <x v="0"/>
    <s v="Auckland"/>
    <s v="New Zealand"/>
    <s v="Trailer"/>
    <s v="Standard"/>
    <m/>
    <m/>
    <m/>
    <x v="3"/>
  </r>
  <r>
    <n v="477"/>
    <s v="Trailer"/>
    <n v="623"/>
    <n v="2017"/>
    <s v="TOP GEAR"/>
    <s v="Black"/>
    <d v="2022-09-01T00:00:00"/>
    <x v="0"/>
    <s v="Auckland"/>
    <s v="New Zealand"/>
    <s v="Trailer"/>
    <s v="Standard"/>
    <m/>
    <m/>
    <m/>
    <x v="2"/>
  </r>
  <r>
    <n v="478"/>
    <s v="Trailer"/>
    <n v="562"/>
    <n v="2017"/>
    <s v="K844T"/>
    <s v="Silver"/>
    <d v="2022-09-01T00:00:00"/>
    <x v="3"/>
    <s v="Canterbury"/>
    <s v="New Zealand"/>
    <s v="Kea"/>
    <s v="Standard"/>
    <m/>
    <m/>
    <m/>
    <x v="1"/>
  </r>
  <r>
    <n v="479"/>
    <s v="Trailer"/>
    <n v="623"/>
    <n v="2017"/>
    <s v="EASY TILI"/>
    <s v="Silver"/>
    <d v="2022-09-01T00:00:00"/>
    <x v="9"/>
    <s v="Waikato"/>
    <s v="New Zealand"/>
    <s v="Trailer"/>
    <s v="Standard"/>
    <m/>
    <m/>
    <m/>
    <x v="2"/>
  </r>
  <r>
    <n v="480"/>
    <s v="Boat Trailer"/>
    <n v="623"/>
    <n v="2017"/>
    <s v="HOMEBUILT"/>
    <s v="Silver"/>
    <d v="2022-09-02T00:00:00"/>
    <x v="3"/>
    <s v="Canterbury"/>
    <s v="New Zealand"/>
    <s v="Trailer"/>
    <s v="Standard"/>
    <m/>
    <m/>
    <m/>
    <x v="1"/>
  </r>
  <r>
    <n v="481"/>
    <s v="Trailer"/>
    <n v="623"/>
    <n v="2008"/>
    <s v="BUNNINGS"/>
    <s v="Silver"/>
    <d v="2022-09-03T00:00:00"/>
    <x v="6"/>
    <s v="Manawatū-Whanganui"/>
    <s v="New Zealand"/>
    <s v="Trailer"/>
    <s v="Standard"/>
    <m/>
    <m/>
    <m/>
    <x v="3"/>
  </r>
  <r>
    <n v="482"/>
    <s v="Boat Trailer"/>
    <n v="636"/>
    <n v="2017"/>
    <s v="RED RUNNER H/B"/>
    <s v="Silver"/>
    <d v="2022-09-03T00:00:00"/>
    <x v="0"/>
    <s v="Auckland"/>
    <s v="New Zealand"/>
    <s v="Yamaha"/>
    <s v="Standard"/>
    <m/>
    <m/>
    <m/>
    <x v="1"/>
  </r>
  <r>
    <n v="483"/>
    <s v="Trailer"/>
    <n v="623"/>
    <n v="2017"/>
    <s v="TRAILER PRO"/>
    <s v="Silver"/>
    <d v="2022-09-03T00:00:00"/>
    <x v="0"/>
    <s v="Auckland"/>
    <s v="New Zealand"/>
    <s v="Trailer"/>
    <s v="Standard"/>
    <m/>
    <m/>
    <m/>
    <x v="3"/>
  </r>
  <r>
    <n v="484"/>
    <s v="Trailer"/>
    <n v="623"/>
    <n v="2017"/>
    <s v="HOMEBUILT"/>
    <s v="Silver"/>
    <d v="2022-09-03T00:00:00"/>
    <x v="3"/>
    <s v="Canterbury"/>
    <s v="New Zealand"/>
    <s v="Trailer"/>
    <s v="Standard"/>
    <m/>
    <m/>
    <m/>
    <x v="3"/>
  </r>
  <r>
    <n v="485"/>
    <s v="Trailer"/>
    <n v="562"/>
    <n v="2008"/>
    <s v="844X"/>
    <s v="Silver"/>
    <d v="2022-10-01T00:00:00"/>
    <x v="6"/>
    <s v="Manawatū-Whanganui"/>
    <s v="New Zealand"/>
    <s v="Kea"/>
    <s v="Standard"/>
    <m/>
    <m/>
    <m/>
    <x v="1"/>
  </r>
  <r>
    <n v="486"/>
    <s v="Trailer"/>
    <n v="623"/>
    <n v="2017"/>
    <s v="IFOR WILLIAMS"/>
    <s v="Silver"/>
    <d v="2022-10-01T00:00:00"/>
    <x v="0"/>
    <s v="Auckland"/>
    <s v="New Zealand"/>
    <s v="Trailer"/>
    <s v="Standard"/>
    <m/>
    <m/>
    <m/>
    <x v="2"/>
  </r>
  <r>
    <n v="487"/>
    <s v="Trailer"/>
    <n v="623"/>
    <n v="2009"/>
    <s v="DOMESTIC TRAILER"/>
    <s v="Silver"/>
    <d v="2022-10-01T00:00:00"/>
    <x v="9"/>
    <s v="Waikato"/>
    <s v="New Zealand"/>
    <s v="Trailer"/>
    <s v="Standard"/>
    <m/>
    <m/>
    <m/>
    <x v="2"/>
  </r>
  <r>
    <n v="488"/>
    <s v="Trailer"/>
    <n v="623"/>
    <n v="2020"/>
    <s v="TUFF"/>
    <s v="Silver"/>
    <d v="2022-10-02T00:00:00"/>
    <x v="8"/>
    <s v="Bay of Plenty"/>
    <s v="New Zealand"/>
    <s v="Trailer"/>
    <s v="Standard"/>
    <m/>
    <m/>
    <m/>
    <x v="2"/>
  </r>
  <r>
    <n v="489"/>
    <s v="Boat Trailer"/>
    <n v="623"/>
    <n v="2020"/>
    <s v="WAVERUNNER"/>
    <s v="Grey"/>
    <d v="2022-10-02T00:00:00"/>
    <x v="3"/>
    <s v="Canterbury"/>
    <s v="New Zealand"/>
    <s v="Trailer"/>
    <s v="Standard"/>
    <m/>
    <m/>
    <m/>
    <x v="2"/>
  </r>
  <r>
    <n v="490"/>
    <s v="Trailer"/>
    <n v="584"/>
    <n v="2008"/>
    <s v="TRAILER"/>
    <s v="Silver"/>
    <d v="2022-10-02T00:00:00"/>
    <x v="0"/>
    <s v="Auckland"/>
    <s v="New Zealand"/>
    <s v="Mono - Way"/>
    <s v="Standard"/>
    <m/>
    <m/>
    <m/>
    <x v="1"/>
  </r>
  <r>
    <n v="491"/>
    <s v="Roadbike"/>
    <n v="550"/>
    <n v="1985"/>
    <s v="CX"/>
    <s v="White"/>
    <d v="2022-10-03T00:00:00"/>
    <x v="0"/>
    <s v="Auckland"/>
    <s v="New Zealand"/>
    <s v="Honda"/>
    <s v="Standard"/>
    <m/>
    <m/>
    <m/>
    <x v="1"/>
  </r>
  <r>
    <n v="492"/>
    <s v="Roadbike"/>
    <n v="611"/>
    <n v="2005"/>
    <s v="GN250"/>
    <s v="Blue"/>
    <d v="2022-10-03T00:00:00"/>
    <x v="0"/>
    <s v="Auckland"/>
    <s v="New Zealand"/>
    <s v="Suzuki"/>
    <s v="Standard"/>
    <m/>
    <m/>
    <m/>
    <x v="1"/>
  </r>
  <r>
    <n v="493"/>
    <s v="Boat Trailer"/>
    <n v="623"/>
    <n v="1990"/>
    <s v="BOAT TRAILER"/>
    <s v="White"/>
    <d v="2022-10-03T00:00:00"/>
    <x v="0"/>
    <s v="Auckland"/>
    <s v="New Zealand"/>
    <s v="Trailer"/>
    <s v="Standard"/>
    <m/>
    <m/>
    <m/>
    <x v="3"/>
  </r>
  <r>
    <n v="494"/>
    <s v="Trailer"/>
    <n v="623"/>
    <n v="2021"/>
    <s v="BOX"/>
    <s v="White"/>
    <d v="2022-10-03T00:00:00"/>
    <x v="2"/>
    <s v="Hawke's Bay"/>
    <s v="New Zealand"/>
    <s v="Trailer"/>
    <s v="Standard"/>
    <m/>
    <m/>
    <m/>
    <x v="3"/>
  </r>
  <r>
    <n v="495"/>
    <s v="Trailer"/>
    <n v="623"/>
    <n v="2021"/>
    <s v="CAR TRANSPORTER"/>
    <s v="Grey"/>
    <d v="2022-10-03T00:00:00"/>
    <x v="0"/>
    <s v="Auckland"/>
    <s v="New Zealand"/>
    <s v="Trailer"/>
    <s v="Standard"/>
    <m/>
    <m/>
    <m/>
    <x v="3"/>
  </r>
  <r>
    <n v="496"/>
    <s v="Moped"/>
    <n v="585"/>
    <n v="2005"/>
    <s v="JET EURO X"/>
    <s v="Silver"/>
    <d v="2022-11-01T00:00:00"/>
    <x v="4"/>
    <s v="Wellington"/>
    <s v="New Zealand"/>
    <s v="Moped"/>
    <s v="Standard"/>
    <m/>
    <m/>
    <m/>
    <x v="1"/>
  </r>
  <r>
    <n v="497"/>
    <s v="Trailer"/>
    <n v="623"/>
    <n v="2021"/>
    <s v="ELITE 8X4"/>
    <s v="Silver"/>
    <d v="2022-11-02T00:00:00"/>
    <x v="3"/>
    <s v="Canterbury"/>
    <s v="New Zealand"/>
    <s v="Trailer"/>
    <s v="Standard"/>
    <m/>
    <m/>
    <m/>
    <x v="1"/>
  </r>
  <r>
    <n v="498"/>
    <s v="Trailer"/>
    <n v="623"/>
    <n v="2021"/>
    <s v="ROADCHIEF"/>
    <s v="Silver"/>
    <d v="2022-12-01T00:00:00"/>
    <x v="0"/>
    <s v="Auckland"/>
    <s v="New Zealand"/>
    <s v="Trailer"/>
    <s v="Standard"/>
    <m/>
    <m/>
    <m/>
    <x v="1"/>
  </r>
  <r>
    <n v="499"/>
    <s v="Trailer"/>
    <n v="562"/>
    <n v="2021"/>
    <s v="KC95"/>
    <s v="Silver"/>
    <d v="2022-12-02T00:00:00"/>
    <x v="3"/>
    <s v="Canterbury"/>
    <s v="New Zealand"/>
    <s v="Kea"/>
    <s v="Standard"/>
    <m/>
    <m/>
    <m/>
    <x v="1"/>
  </r>
  <r>
    <n v="500"/>
    <s v="Trailer - Heavy"/>
    <n v="623"/>
    <n v="2021"/>
    <s v="BRENT SMITH TB1"/>
    <s v="Silver"/>
    <d v="2022-12-03T00:00:00"/>
    <x v="0"/>
    <s v="Auckland"/>
    <s v="New Zealand"/>
    <s v="Trailer"/>
    <s v="Standard"/>
    <m/>
    <m/>
    <m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s v="Trailer"/>
    <x v="0"/>
    <x v="0"/>
    <s v="BST2021D"/>
    <x v="0"/>
    <d v="2021-01-11T00:00:00"/>
    <n v="102"/>
    <s v="Auckland"/>
    <s v="New Zealand"/>
    <s v="Trailer"/>
    <s v="Standard"/>
    <s v="Trailer"/>
    <s v="Silver"/>
    <s v="HANSA CHIPPER"/>
    <n v="5"/>
    <n v="114"/>
    <n v="114"/>
    <n v="623"/>
    <s v="Silver"/>
  </r>
  <r>
    <n v="2"/>
    <s v="Boat Trailer"/>
    <x v="0"/>
    <x v="0"/>
    <s v="OUTBACK BOATS FT470"/>
    <x v="0"/>
    <d v="2021-01-11T00:00:00"/>
    <n v="105"/>
    <s v="Gisborne"/>
    <s v="New Zealand"/>
    <s v="Trailer"/>
    <s v="Standard"/>
    <m/>
    <m/>
    <m/>
    <n v="5"/>
    <m/>
    <m/>
    <m/>
    <m/>
  </r>
  <r>
    <n v="3"/>
    <s v="Boat Trailer"/>
    <x v="0"/>
    <x v="0"/>
    <s v="ASD JETSKI"/>
    <x v="0"/>
    <d v="2021-01-11T00:00:00"/>
    <n v="102"/>
    <s v="Auckland"/>
    <s v="New Zealand"/>
    <s v="Trailer"/>
    <s v="Standard"/>
    <m/>
    <m/>
    <m/>
    <n v="5"/>
    <m/>
    <m/>
    <m/>
    <m/>
  </r>
  <r>
    <n v="4"/>
    <s v="Trailer"/>
    <x v="0"/>
    <x v="0"/>
    <s v="MSC 7X4"/>
    <x v="0"/>
    <d v="2021-01-11T00:00:00"/>
    <n v="106"/>
    <s v="Hawke's Bay"/>
    <s v="New Zealand"/>
    <s v="Trailer"/>
    <s v="Standard"/>
    <m/>
    <m/>
    <m/>
    <n v="5"/>
    <m/>
    <m/>
    <m/>
    <m/>
  </r>
  <r>
    <n v="5"/>
    <s v="Trailer"/>
    <x v="0"/>
    <x v="1"/>
    <s v="D-MAX 8X5"/>
    <x v="0"/>
    <d v="2021-01-11T00:00:00"/>
    <n v="102"/>
    <s v="Auckland"/>
    <s v="New Zealand"/>
    <s v="Trailer"/>
    <s v="Standard"/>
    <m/>
    <m/>
    <m/>
    <n v="5"/>
    <m/>
    <m/>
    <m/>
    <m/>
  </r>
  <r>
    <n v="6"/>
    <s v="Roadbike"/>
    <x v="1"/>
    <x v="2"/>
    <s v="YZF-R6T"/>
    <x v="1"/>
    <d v="2021-01-11T00:00:00"/>
    <n v="102"/>
    <s v="Auckland"/>
    <s v="New Zealand"/>
    <s v="Yamaha"/>
    <s v="Standard"/>
    <m/>
    <m/>
    <m/>
    <n v="1"/>
    <m/>
    <m/>
    <m/>
    <m/>
  </r>
  <r>
    <n v="7"/>
    <s v="Trailer"/>
    <x v="0"/>
    <x v="0"/>
    <s v="CAAR TRANSPORTER"/>
    <x v="0"/>
    <d v="2021-01-12T00:00:00"/>
    <n v="114"/>
    <s v="Canterbury"/>
    <s v="New Zealand"/>
    <s v="Trailer"/>
    <s v="Standard"/>
    <m/>
    <m/>
    <m/>
    <n v="2"/>
    <m/>
    <m/>
    <m/>
    <m/>
  </r>
  <r>
    <n v="8"/>
    <s v="Boat Trailer"/>
    <x v="0"/>
    <x v="3"/>
    <s v="BOAT"/>
    <x v="0"/>
    <d v="2021-01-12T00:00:00"/>
    <n v="109"/>
    <s v="Wellington"/>
    <s v="New Zealand"/>
    <s v="Trailer"/>
    <s v="Standard"/>
    <m/>
    <m/>
    <m/>
    <n v="2"/>
    <m/>
    <m/>
    <m/>
    <m/>
  </r>
  <r>
    <n v="9"/>
    <s v="Trailer"/>
    <x v="2"/>
    <x v="0"/>
    <s v="7X4-6&quot; 1000KG"/>
    <x v="0"/>
    <d v="2021-02-11T00:00:00"/>
    <n v="115"/>
    <s v="Otago"/>
    <s v="New Zealand"/>
    <s v="Briford"/>
    <s v="Standard"/>
    <m/>
    <m/>
    <m/>
    <n v="1"/>
    <m/>
    <m/>
    <m/>
    <m/>
  </r>
  <r>
    <n v="10"/>
    <s v="Trailer"/>
    <x v="2"/>
    <x v="4"/>
    <s v="8X4 TANDEM"/>
    <x v="0"/>
    <d v="2021-02-12T00:00:00"/>
    <n v="114"/>
    <s v="Canterbury"/>
    <s v="New Zealand"/>
    <s v="Briford"/>
    <s v="Standard"/>
    <m/>
    <m/>
    <m/>
    <n v="1"/>
    <m/>
    <m/>
    <m/>
    <m/>
  </r>
  <r>
    <n v="11"/>
    <s v="Trailer"/>
    <x v="0"/>
    <x v="1"/>
    <s v="HOMEBUILT"/>
    <x v="0"/>
    <d v="2021-02-12T00:00:00"/>
    <n v="108"/>
    <s v="Manawatū-Whanganui"/>
    <s v="New Zealand"/>
    <s v="Trailer"/>
    <s v="Standard"/>
    <m/>
    <m/>
    <m/>
    <n v="1"/>
    <m/>
    <m/>
    <m/>
    <m/>
  </r>
  <r>
    <n v="12"/>
    <s v="Trailer"/>
    <x v="3"/>
    <x v="1"/>
    <s v="BRENT SMITH TRAILERS"/>
    <x v="0"/>
    <d v="2021-03-11T00:00:00"/>
    <n v="102"/>
    <s v="Auckland"/>
    <s v="New Zealand"/>
    <s v="Factory Built"/>
    <s v="Standard"/>
    <m/>
    <m/>
    <m/>
    <n v="1"/>
    <m/>
    <m/>
    <m/>
    <m/>
  </r>
  <r>
    <n v="13"/>
    <s v="Moped"/>
    <x v="4"/>
    <x v="5"/>
    <s v="ET2"/>
    <x v="1"/>
    <d v="2021-03-12T00:00:00"/>
    <n v="102"/>
    <s v="Auckland"/>
    <s v="New Zealand"/>
    <s v="Vespa"/>
    <s v="Standard"/>
    <m/>
    <m/>
    <m/>
    <n v="1"/>
    <m/>
    <m/>
    <m/>
    <m/>
  </r>
  <r>
    <n v="14"/>
    <s v="Moped"/>
    <x v="5"/>
    <x v="6"/>
    <s v="TODAY"/>
    <x v="2"/>
    <d v="2021-03-12T00:00:00"/>
    <n v="102"/>
    <s v="Auckland"/>
    <s v="New Zealand"/>
    <s v="Honda"/>
    <s v="Standard"/>
    <m/>
    <m/>
    <m/>
    <n v="1"/>
    <m/>
    <m/>
    <m/>
    <m/>
  </r>
  <r>
    <n v="15"/>
    <s v="Roadbike"/>
    <x v="6"/>
    <x v="6"/>
    <s v="DL650"/>
    <x v="1"/>
    <d v="2021-03-12T00:00:00"/>
    <n v="101"/>
    <s v="Northland"/>
    <s v="New Zealand"/>
    <s v="Suzuki"/>
    <s v="Standard"/>
    <m/>
    <m/>
    <m/>
    <n v="1"/>
    <m/>
    <m/>
    <m/>
    <m/>
  </r>
  <r>
    <n v="16"/>
    <s v="Trailer"/>
    <x v="0"/>
    <x v="0"/>
    <s v="JOBMATE"/>
    <x v="0"/>
    <d v="2021-03-12T00:00:00"/>
    <n v="109"/>
    <s v="Wellington"/>
    <s v="New Zealand"/>
    <s v="Trailer"/>
    <s v="Standard"/>
    <m/>
    <m/>
    <m/>
    <n v="1"/>
    <m/>
    <m/>
    <m/>
    <m/>
  </r>
  <r>
    <n v="17"/>
    <s v="Trailer"/>
    <x v="0"/>
    <x v="0"/>
    <s v="BSTB85B"/>
    <x v="0"/>
    <d v="2021-04-11T00:00:00"/>
    <n v="102"/>
    <s v="Auckland"/>
    <s v="New Zealand"/>
    <s v="Trailer"/>
    <s v="Standard"/>
    <m/>
    <m/>
    <m/>
    <n v="2"/>
    <m/>
    <m/>
    <m/>
    <m/>
  </r>
  <r>
    <n v="18"/>
    <s v="Boat Trailer"/>
    <x v="0"/>
    <x v="5"/>
    <s v="BOAT"/>
    <x v="3"/>
    <d v="2021-04-11T00:00:00"/>
    <n v="104"/>
    <s v="Bay of Plenty"/>
    <s v="New Zealand"/>
    <s v="Trailer"/>
    <s v="Standard"/>
    <m/>
    <m/>
    <m/>
    <n v="2"/>
    <m/>
    <m/>
    <m/>
    <m/>
  </r>
  <r>
    <n v="19"/>
    <s v="Trailer"/>
    <x v="0"/>
    <x v="7"/>
    <s v="DOMESTIC TRAILER"/>
    <x v="3"/>
    <d v="2021-05-11T00:00:00"/>
    <n v="104"/>
    <s v="Bay of Plenty"/>
    <s v="New Zealand"/>
    <s v="Trailer"/>
    <s v="Standard"/>
    <m/>
    <m/>
    <m/>
    <n v="2"/>
    <m/>
    <m/>
    <m/>
    <m/>
  </r>
  <r>
    <n v="20"/>
    <s v="Boat Trailer"/>
    <x v="0"/>
    <x v="1"/>
    <s v="APS SEADOO"/>
    <x v="0"/>
    <d v="2021-05-11T00:00:00"/>
    <n v="114"/>
    <s v="Canterbury"/>
    <s v="New Zealand"/>
    <s v="Trailer"/>
    <s v="Standard"/>
    <m/>
    <m/>
    <m/>
    <n v="2"/>
    <m/>
    <m/>
    <m/>
    <m/>
  </r>
  <r>
    <n v="21"/>
    <s v="Roadbike"/>
    <x v="7"/>
    <x v="8"/>
    <s v="THUNDERBIRD"/>
    <x v="0"/>
    <d v="2021-05-11T00:00:00"/>
    <n v="101"/>
    <s v="Northland"/>
    <s v="New Zealand"/>
    <s v="Triumph"/>
    <s v="Standard"/>
    <m/>
    <m/>
    <m/>
    <n v="1"/>
    <m/>
    <m/>
    <m/>
    <m/>
  </r>
  <r>
    <n v="22"/>
    <s v="Trailer"/>
    <x v="3"/>
    <x v="9"/>
    <s v="BRENT SMITH TRAILERS"/>
    <x v="0"/>
    <d v="2021-05-12T00:00:00"/>
    <n v="104"/>
    <s v="Bay of Plenty"/>
    <s v="New Zealand"/>
    <s v="Factory Built"/>
    <s v="Standard"/>
    <m/>
    <m/>
    <m/>
    <n v="1"/>
    <m/>
    <m/>
    <m/>
    <m/>
  </r>
  <r>
    <n v="23"/>
    <s v="Trailer"/>
    <x v="0"/>
    <x v="10"/>
    <s v="LOCAL"/>
    <x v="0"/>
    <d v="2021-06-11T00:00:00"/>
    <n v="114"/>
    <s v="Canterbury"/>
    <s v="New Zealand"/>
    <s v="Trailer"/>
    <s v="Standard"/>
    <m/>
    <m/>
    <m/>
    <n v="3"/>
    <m/>
    <m/>
    <m/>
    <m/>
  </r>
  <r>
    <n v="24"/>
    <s v="Trailer - Heavy"/>
    <x v="0"/>
    <x v="0"/>
    <s v="CT DIG 25"/>
    <x v="0"/>
    <d v="2021-06-11T00:00:00"/>
    <n v="102"/>
    <s v="Auckland"/>
    <s v="New Zealand"/>
    <s v="Trailer"/>
    <s v="Standard"/>
    <m/>
    <m/>
    <m/>
    <n v="3"/>
    <m/>
    <m/>
    <m/>
    <m/>
  </r>
  <r>
    <n v="25"/>
    <s v="Trailer"/>
    <x v="0"/>
    <x v="1"/>
    <s v="CHOOKS 2.4X1.6 TRANS"/>
    <x v="0"/>
    <d v="2021-06-11T00:00:00"/>
    <n v="106"/>
    <s v="Hawke's Bay"/>
    <s v="New Zealand"/>
    <s v="Trailer"/>
    <s v="Standard"/>
    <m/>
    <m/>
    <m/>
    <n v="3"/>
    <m/>
    <m/>
    <m/>
    <m/>
  </r>
  <r>
    <n v="26"/>
    <s v="Trailer"/>
    <x v="0"/>
    <x v="11"/>
    <s v="EASY TILT"/>
    <x v="0"/>
    <d v="2021-06-12T00:00:00"/>
    <n v="108"/>
    <s v="Manawatū-Whanganui"/>
    <s v="New Zealand"/>
    <s v="Trailer"/>
    <s v="Standard"/>
    <m/>
    <m/>
    <m/>
    <n v="5"/>
    <m/>
    <m/>
    <m/>
    <m/>
  </r>
  <r>
    <n v="27"/>
    <s v="Trailer"/>
    <x v="0"/>
    <x v="1"/>
    <s v="IFOR WILLIAMS CT177"/>
    <x v="0"/>
    <d v="2021-06-12T00:00:00"/>
    <n v="103"/>
    <s v="Waikato"/>
    <s v="New Zealand"/>
    <s v="Trailer"/>
    <s v="Standard"/>
    <m/>
    <m/>
    <m/>
    <n v="5"/>
    <m/>
    <m/>
    <m/>
    <m/>
  </r>
  <r>
    <n v="28"/>
    <s v="Trailer"/>
    <x v="0"/>
    <x v="1"/>
    <s v="CONDOR"/>
    <x v="0"/>
    <d v="2021-06-12T00:00:00"/>
    <n v="109"/>
    <s v="Wellington"/>
    <s v="New Zealand"/>
    <s v="Trailer"/>
    <s v="Standard"/>
    <m/>
    <m/>
    <m/>
    <n v="5"/>
    <m/>
    <m/>
    <m/>
    <m/>
  </r>
  <r>
    <n v="29"/>
    <s v="Trailer"/>
    <x v="0"/>
    <x v="1"/>
    <s v="HOMEBUILT"/>
    <x v="0"/>
    <d v="2021-06-12T00:00:00"/>
    <n v="104"/>
    <s v="Bay of Plenty"/>
    <s v="New Zealand"/>
    <s v="Trailer"/>
    <s v="Standard"/>
    <m/>
    <m/>
    <m/>
    <n v="5"/>
    <m/>
    <m/>
    <m/>
    <m/>
  </r>
  <r>
    <n v="30"/>
    <s v="Trailer"/>
    <x v="0"/>
    <x v="1"/>
    <s v="PRO COMMERCIAL"/>
    <x v="0"/>
    <d v="2021-06-12T00:00:00"/>
    <n v="102"/>
    <s v="Auckland"/>
    <s v="New Zealand"/>
    <s v="Trailer"/>
    <s v="Standard"/>
    <m/>
    <m/>
    <m/>
    <n v="5"/>
    <m/>
    <m/>
    <m/>
    <m/>
  </r>
  <r>
    <n v="31"/>
    <s v="Trailer"/>
    <x v="0"/>
    <x v="1"/>
    <s v="FACTORY"/>
    <x v="4"/>
    <d v="2021-07-10T00:00:00"/>
    <n v="102"/>
    <s v="Auckland"/>
    <s v="New Zealand"/>
    <s v="Trailer"/>
    <s v="Standard"/>
    <m/>
    <m/>
    <m/>
    <n v="1"/>
    <m/>
    <m/>
    <m/>
    <m/>
  </r>
  <r>
    <n v="32"/>
    <s v="Trailer"/>
    <x v="8"/>
    <x v="12"/>
    <s v="TRAILER"/>
    <x v="5"/>
    <d v="2021-07-10T00:00:00"/>
    <n v="114"/>
    <s v="Canterbury"/>
    <s v="New Zealand"/>
    <s v="Homebuilt"/>
    <s v="Standard"/>
    <m/>
    <m/>
    <m/>
    <n v="1"/>
    <m/>
    <m/>
    <m/>
    <m/>
  </r>
  <r>
    <n v="33"/>
    <s v="Boat Trailer"/>
    <x v="0"/>
    <x v="11"/>
    <s v="JFK JETSKI"/>
    <x v="4"/>
    <d v="2021-07-12T00:00:00"/>
    <n v="104"/>
    <s v="Bay of Plenty"/>
    <s v="New Zealand"/>
    <s v="Trailer"/>
    <s v="Standard"/>
    <m/>
    <m/>
    <m/>
    <n v="6"/>
    <m/>
    <m/>
    <m/>
    <m/>
  </r>
  <r>
    <n v="34"/>
    <s v="Trailer"/>
    <x v="0"/>
    <x v="0"/>
    <s v="BST 2021D"/>
    <x v="0"/>
    <d v="2021-07-12T00:00:00"/>
    <n v="102"/>
    <s v="Auckland"/>
    <s v="New Zealand"/>
    <s v="Trailer"/>
    <s v="Standard"/>
    <m/>
    <m/>
    <m/>
    <n v="6"/>
    <m/>
    <m/>
    <m/>
    <m/>
  </r>
  <r>
    <n v="35"/>
    <s v="Trailer"/>
    <x v="2"/>
    <x v="0"/>
    <s v="10X5 TANDEM"/>
    <x v="0"/>
    <d v="2021-07-12T00:00:00"/>
    <n v="114"/>
    <s v="Canterbury"/>
    <s v="New Zealand"/>
    <s v="Briford"/>
    <s v="Standard"/>
    <m/>
    <m/>
    <m/>
    <n v="1"/>
    <m/>
    <m/>
    <m/>
    <m/>
  </r>
  <r>
    <n v="36"/>
    <s v="Trailer"/>
    <x v="0"/>
    <x v="1"/>
    <s v="HOMEMADE"/>
    <x v="4"/>
    <d v="2021-07-12T00:00:00"/>
    <n v="103"/>
    <s v="Waikato"/>
    <s v="New Zealand"/>
    <s v="Trailer"/>
    <s v="Standard"/>
    <m/>
    <m/>
    <m/>
    <n v="6"/>
    <m/>
    <m/>
    <m/>
    <m/>
  </r>
  <r>
    <n v="37"/>
    <s v="Trailer"/>
    <x v="0"/>
    <x v="1"/>
    <s v="COMPASS-KH63"/>
    <x v="0"/>
    <d v="2021-07-12T00:00:00"/>
    <n v="102"/>
    <s v="Auckland"/>
    <s v="New Zealand"/>
    <s v="Trailer"/>
    <s v="Standard"/>
    <m/>
    <m/>
    <m/>
    <n v="6"/>
    <m/>
    <m/>
    <m/>
    <m/>
  </r>
  <r>
    <n v="38"/>
    <s v="Trailer"/>
    <x v="0"/>
    <x v="1"/>
    <s v="TRAYLA"/>
    <x v="0"/>
    <d v="2021-07-12T00:00:00"/>
    <n v="109"/>
    <s v="Wellington"/>
    <s v="New Zealand"/>
    <s v="Trailer"/>
    <s v="Standard"/>
    <m/>
    <m/>
    <m/>
    <n v="6"/>
    <m/>
    <m/>
    <m/>
    <m/>
  </r>
  <r>
    <n v="39"/>
    <s v="Trailer - Heavy"/>
    <x v="0"/>
    <x v="0"/>
    <s v="PRESCOTT"/>
    <x v="0"/>
    <d v="2021-07-12T00:00:00"/>
    <n v="104"/>
    <s v="Bay of Plenty"/>
    <s v="New Zealand"/>
    <s v="Trailer"/>
    <s v="Standard"/>
    <m/>
    <m/>
    <m/>
    <n v="6"/>
    <m/>
    <m/>
    <m/>
    <m/>
  </r>
  <r>
    <n v="40"/>
    <s v="Trailer"/>
    <x v="8"/>
    <x v="0"/>
    <s v="TRAILER"/>
    <x v="1"/>
    <d v="2021-08-10T00:00:00"/>
    <n v="109"/>
    <s v="Wellington"/>
    <s v="New Zealand"/>
    <s v="Homebuilt"/>
    <s v="Standard"/>
    <m/>
    <m/>
    <m/>
    <n v="1"/>
    <m/>
    <m/>
    <m/>
    <m/>
  </r>
  <r>
    <n v="41"/>
    <s v="Trailer"/>
    <x v="0"/>
    <x v="0"/>
    <s v="TRAYLA"/>
    <x v="0"/>
    <d v="2021-08-10T00:00:00"/>
    <n v="106"/>
    <s v="Hawke's Bay"/>
    <s v="New Zealand"/>
    <s v="Trailer"/>
    <s v="Standard"/>
    <m/>
    <m/>
    <m/>
    <n v="1"/>
    <m/>
    <m/>
    <m/>
    <m/>
  </r>
  <r>
    <n v="42"/>
    <s v="Trailer"/>
    <x v="0"/>
    <x v="8"/>
    <s v="HOMEMADE"/>
    <x v="0"/>
    <d v="2021-08-11T00:00:00"/>
    <n v="102"/>
    <s v="Auckland"/>
    <s v="New Zealand"/>
    <s v="Trailer"/>
    <s v="Standard"/>
    <m/>
    <m/>
    <m/>
    <n v="4"/>
    <m/>
    <m/>
    <m/>
    <m/>
  </r>
  <r>
    <n v="43"/>
    <s v="Boat Trailer"/>
    <x v="0"/>
    <x v="1"/>
    <s v="BST58OR"/>
    <x v="0"/>
    <d v="2021-08-11T00:00:00"/>
    <n v="102"/>
    <s v="Auckland"/>
    <s v="New Zealand"/>
    <s v="Trailer"/>
    <s v="Standard"/>
    <m/>
    <m/>
    <m/>
    <n v="4"/>
    <m/>
    <m/>
    <m/>
    <m/>
  </r>
  <r>
    <n v="44"/>
    <s v="Trailer"/>
    <x v="8"/>
    <x v="1"/>
    <s v="TRAILER"/>
    <x v="0"/>
    <d v="2021-08-11T00:00:00"/>
    <n v="114"/>
    <s v="Canterbury"/>
    <s v="New Zealand"/>
    <s v="Homebuilt"/>
    <s v="Standard"/>
    <m/>
    <m/>
    <m/>
    <n v="1"/>
    <m/>
    <m/>
    <m/>
    <m/>
  </r>
  <r>
    <n v="45"/>
    <s v="Trailer"/>
    <x v="0"/>
    <x v="7"/>
    <s v="DOMESTIC TRAILER"/>
    <x v="0"/>
    <d v="2021-08-11T00:00:00"/>
    <n v="104"/>
    <s v="Bay of Plenty"/>
    <s v="New Zealand"/>
    <s v="Trailer"/>
    <s v="Standard"/>
    <m/>
    <m/>
    <m/>
    <n v="4"/>
    <m/>
    <m/>
    <m/>
    <m/>
  </r>
  <r>
    <n v="46"/>
    <s v="Moped"/>
    <x v="3"/>
    <x v="2"/>
    <s v="TGB PALIO"/>
    <x v="0"/>
    <d v="2021-08-11T00:00:00"/>
    <n v="106"/>
    <s v="Hawke's Bay"/>
    <s v="New Zealand"/>
    <s v="Factory Built"/>
    <s v="Standard"/>
    <m/>
    <m/>
    <m/>
    <n v="1"/>
    <m/>
    <m/>
    <m/>
    <m/>
  </r>
  <r>
    <n v="47"/>
    <s v="Trailer - Heavy"/>
    <x v="0"/>
    <x v="5"/>
    <s v="TANDEM"/>
    <x v="4"/>
    <d v="2021-08-11T00:00:00"/>
    <n v="102"/>
    <s v="Auckland"/>
    <s v="New Zealand"/>
    <s v="Trailer"/>
    <s v="Standard"/>
    <m/>
    <m/>
    <m/>
    <n v="4"/>
    <m/>
    <m/>
    <m/>
    <m/>
  </r>
  <r>
    <n v="48"/>
    <s v="Trailer"/>
    <x v="9"/>
    <x v="0"/>
    <s v="TRAILER"/>
    <x v="0"/>
    <d v="2021-08-11T00:00:00"/>
    <n v="102"/>
    <s v="Auckland"/>
    <s v="New Zealand"/>
    <s v="Custombuilt"/>
    <s v="Standard"/>
    <m/>
    <m/>
    <m/>
    <n v="1"/>
    <m/>
    <m/>
    <m/>
    <m/>
  </r>
  <r>
    <n v="49"/>
    <s v="Trailer"/>
    <x v="0"/>
    <x v="0"/>
    <s v="DOMESTIC"/>
    <x v="4"/>
    <d v="2021-08-12T00:00:00"/>
    <n v="102"/>
    <s v="Auckland"/>
    <s v="New Zealand"/>
    <s v="Trailer"/>
    <s v="Standard"/>
    <m/>
    <m/>
    <m/>
    <n v="2"/>
    <m/>
    <m/>
    <m/>
    <m/>
  </r>
  <r>
    <n v="50"/>
    <s v="Trailer"/>
    <x v="0"/>
    <x v="0"/>
    <s v="M J TANDEM AXLE"/>
    <x v="0"/>
    <d v="2021-08-12T00:00:00"/>
    <n v="114"/>
    <s v="Canterbury"/>
    <s v="New Zealand"/>
    <s v="Trailer"/>
    <s v="Standard"/>
    <m/>
    <m/>
    <m/>
    <n v="2"/>
    <m/>
    <m/>
    <m/>
    <m/>
  </r>
  <r>
    <n v="51"/>
    <s v="Trailer"/>
    <x v="2"/>
    <x v="0"/>
    <s v="8X4 CAGE"/>
    <x v="0"/>
    <d v="2021-09-10T00:00:00"/>
    <n v="102"/>
    <s v="Auckland"/>
    <s v="New Zealand"/>
    <s v="Briford"/>
    <s v="Standard"/>
    <m/>
    <m/>
    <m/>
    <n v="1"/>
    <m/>
    <m/>
    <m/>
    <m/>
  </r>
  <r>
    <n v="52"/>
    <s v="Caravan"/>
    <x v="10"/>
    <x v="13"/>
    <s v="RIVIERA 482"/>
    <x v="3"/>
    <d v="2021-09-10T00:00:00"/>
    <n v="114"/>
    <s v="Canterbury"/>
    <s v="New Zealand"/>
    <s v="Elddis"/>
    <s v="Standard"/>
    <m/>
    <m/>
    <m/>
    <n v="1"/>
    <m/>
    <m/>
    <m/>
    <m/>
  </r>
  <r>
    <n v="53"/>
    <s v="Roadbike"/>
    <x v="1"/>
    <x v="14"/>
    <s v="XTZ660BG"/>
    <x v="2"/>
    <d v="2021-09-11T00:00:00"/>
    <n v="111"/>
    <s v="Nelson"/>
    <s v="New Zealand"/>
    <s v="Yamaha"/>
    <s v="Standard"/>
    <m/>
    <m/>
    <m/>
    <n v="1"/>
    <m/>
    <m/>
    <m/>
    <m/>
  </r>
  <r>
    <n v="54"/>
    <s v="Roadbike"/>
    <x v="11"/>
    <x v="15"/>
    <s v="NINJA"/>
    <x v="5"/>
    <d v="2021-09-11T00:00:00"/>
    <n v="104"/>
    <s v="Bay of Plenty"/>
    <s v="New Zealand"/>
    <s v="Kawasaki"/>
    <s v="Standard"/>
    <m/>
    <m/>
    <m/>
    <n v="1"/>
    <m/>
    <m/>
    <m/>
    <m/>
  </r>
  <r>
    <n v="55"/>
    <s v="Trailer - Heavy"/>
    <x v="0"/>
    <x v="0"/>
    <s v="PRESCOTT"/>
    <x v="0"/>
    <d v="2021-09-11T00:00:00"/>
    <n v="104"/>
    <s v="Bay of Plenty"/>
    <s v="New Zealand"/>
    <s v="Trailer"/>
    <s v="Standard"/>
    <m/>
    <m/>
    <m/>
    <n v="1"/>
    <m/>
    <m/>
    <m/>
    <m/>
  </r>
  <r>
    <n v="56"/>
    <s v="Trailer - Heavy"/>
    <x v="0"/>
    <x v="9"/>
    <s v="BRIFORD"/>
    <x v="6"/>
    <d v="2021-10-10T00:00:00"/>
    <n v="102"/>
    <s v="Auckland"/>
    <s v="New Zealand"/>
    <s v="Trailer"/>
    <s v="Standard"/>
    <m/>
    <m/>
    <m/>
    <n v="4"/>
    <m/>
    <m/>
    <m/>
    <m/>
  </r>
  <r>
    <n v="57"/>
    <s v="Boat Trailer"/>
    <x v="0"/>
    <x v="0"/>
    <s v="ASD JETSKI"/>
    <x v="0"/>
    <d v="2021-10-10T00:00:00"/>
    <n v="102"/>
    <s v="Auckland"/>
    <s v="New Zealand"/>
    <s v="Trailer"/>
    <s v="Standard"/>
    <m/>
    <m/>
    <m/>
    <n v="4"/>
    <m/>
    <m/>
    <m/>
    <m/>
  </r>
  <r>
    <n v="58"/>
    <s v="Trailer"/>
    <x v="0"/>
    <x v="16"/>
    <s v="BRIFORD 8X4-6COVERED"/>
    <x v="6"/>
    <d v="2021-10-10T00:00:00"/>
    <n v="105"/>
    <s v="Gisborne"/>
    <s v="New Zealand"/>
    <s v="Trailer"/>
    <s v="Standard"/>
    <m/>
    <m/>
    <m/>
    <n v="4"/>
    <m/>
    <m/>
    <m/>
    <m/>
  </r>
  <r>
    <n v="59"/>
    <s v="Trailer"/>
    <x v="0"/>
    <x v="0"/>
    <s v="HOMEBUILT"/>
    <x v="1"/>
    <d v="2021-10-10T00:00:00"/>
    <n v="102"/>
    <s v="Auckland"/>
    <s v="New Zealand"/>
    <s v="Trailer"/>
    <s v="Standard"/>
    <m/>
    <m/>
    <m/>
    <n v="4"/>
    <m/>
    <m/>
    <m/>
    <m/>
  </r>
  <r>
    <n v="60"/>
    <s v="Trailer"/>
    <x v="0"/>
    <x v="17"/>
    <s v="OLEARY"/>
    <x v="7"/>
    <d v="2021-10-11T00:00:00"/>
    <n v="108"/>
    <s v="Manawatū-Whanganui"/>
    <s v="New Zealand"/>
    <s v="Trailer"/>
    <s v="Standard"/>
    <m/>
    <m/>
    <m/>
    <n v="1"/>
    <m/>
    <m/>
    <m/>
    <m/>
  </r>
  <r>
    <n v="61"/>
    <s v="Trailer"/>
    <x v="0"/>
    <x v="0"/>
    <s v="TRAILERWORLD 9X5 HSB"/>
    <x v="0"/>
    <d v="2021-10-13T00:00:00"/>
    <n v="102"/>
    <s v="Auckland"/>
    <s v="New Zealand"/>
    <s v="Trailer"/>
    <s v="Standard"/>
    <m/>
    <m/>
    <m/>
    <n v="1"/>
    <m/>
    <m/>
    <m/>
    <m/>
  </r>
  <r>
    <n v="62"/>
    <s v="Trailer"/>
    <x v="0"/>
    <x v="1"/>
    <s v="SINGLE AXLE"/>
    <x v="0"/>
    <d v="2021-10-14T00:00:00"/>
    <n v="102"/>
    <s v="Auckland"/>
    <s v="New Zealand"/>
    <s v="Trailer"/>
    <s v="Standard"/>
    <m/>
    <m/>
    <m/>
    <n v="3"/>
    <m/>
    <m/>
    <m/>
    <m/>
  </r>
  <r>
    <n v="63"/>
    <s v="Moped"/>
    <x v="5"/>
    <x v="18"/>
    <s v="TODAY 50"/>
    <x v="6"/>
    <d v="2021-10-14T00:00:00"/>
    <n v="104"/>
    <s v="Bay of Plenty"/>
    <s v="New Zealand"/>
    <s v="Honda"/>
    <s v="Standard"/>
    <m/>
    <m/>
    <m/>
    <n v="1"/>
    <m/>
    <m/>
    <m/>
    <m/>
  </r>
  <r>
    <n v="64"/>
    <s v="Trailer"/>
    <x v="0"/>
    <x v="1"/>
    <s v="IFOR WILLIAMS"/>
    <x v="1"/>
    <d v="2021-10-14T00:00:00"/>
    <n v="104"/>
    <s v="Bay of Plenty"/>
    <s v="New Zealand"/>
    <s v="Trailer"/>
    <s v="Standard"/>
    <m/>
    <m/>
    <m/>
    <n v="3"/>
    <m/>
    <m/>
    <m/>
    <m/>
  </r>
  <r>
    <n v="65"/>
    <s v="Trailer"/>
    <x v="0"/>
    <x v="7"/>
    <s v="PRESCOTT"/>
    <x v="0"/>
    <d v="2021-10-14T00:00:00"/>
    <n v="104"/>
    <s v="Bay of Plenty"/>
    <s v="New Zealand"/>
    <s v="Trailer"/>
    <s v="Standard"/>
    <m/>
    <m/>
    <m/>
    <n v="3"/>
    <m/>
    <m/>
    <m/>
    <m/>
  </r>
  <r>
    <n v="66"/>
    <s v="Boat Trailer"/>
    <x v="0"/>
    <x v="7"/>
    <s v="SPORTLINE"/>
    <x v="0"/>
    <d v="2021-10-15T00:00:00"/>
    <n v="105"/>
    <s v="Gisborne"/>
    <s v="New Zealand"/>
    <s v="Trailer"/>
    <s v="Standard"/>
    <m/>
    <m/>
    <m/>
    <n v="1"/>
    <m/>
    <m/>
    <m/>
    <m/>
  </r>
  <r>
    <n v="67"/>
    <s v="Hatchback"/>
    <x v="12"/>
    <x v="19"/>
    <s v="FOCUS"/>
    <x v="2"/>
    <d v="2021-10-16T00:00:00"/>
    <n v="105"/>
    <s v="Gisborne"/>
    <s v="New Zealand"/>
    <s v="Ford"/>
    <s v="Standard"/>
    <m/>
    <m/>
    <m/>
    <n v="1"/>
    <m/>
    <m/>
    <m/>
    <m/>
  </r>
  <r>
    <n v="68"/>
    <s v="Trailer - Heavy"/>
    <x v="0"/>
    <x v="7"/>
    <s v="TILTING FLAT DECK"/>
    <x v="0"/>
    <d v="2021-10-17T00:00:00"/>
    <n v="105"/>
    <s v="Gisborne"/>
    <s v="New Zealand"/>
    <s v="Trailer"/>
    <s v="Standard"/>
    <m/>
    <m/>
    <m/>
    <n v="1"/>
    <m/>
    <m/>
    <m/>
    <m/>
  </r>
  <r>
    <n v="69"/>
    <s v="Trailer"/>
    <x v="0"/>
    <x v="7"/>
    <s v="PMTRAILER"/>
    <x v="0"/>
    <d v="2021-10-18T00:00:00"/>
    <n v="114"/>
    <s v="Canterbury"/>
    <s v="New Zealand"/>
    <s v="Trailer"/>
    <s v="Standard"/>
    <m/>
    <m/>
    <m/>
    <n v="2"/>
    <m/>
    <m/>
    <m/>
    <m/>
  </r>
  <r>
    <n v="70"/>
    <s v="Boat Trailer"/>
    <x v="13"/>
    <x v="7"/>
    <s v="BOAT TRAILER"/>
    <x v="0"/>
    <d v="2021-10-18T00:00:00"/>
    <n v="103"/>
    <s v="Waikato"/>
    <s v="New Zealand"/>
    <s v="Hoskings"/>
    <s v="Standard"/>
    <m/>
    <m/>
    <m/>
    <n v="1"/>
    <m/>
    <m/>
    <m/>
    <m/>
  </r>
  <r>
    <n v="71"/>
    <s v="Trailer"/>
    <x v="0"/>
    <x v="7"/>
    <s v="TRAYLA"/>
    <x v="0"/>
    <d v="2021-10-18T00:00:00"/>
    <n v="107"/>
    <s v="Taranaki"/>
    <s v="New Zealand"/>
    <s v="Trailer"/>
    <s v="Standard"/>
    <m/>
    <m/>
    <m/>
    <n v="2"/>
    <m/>
    <m/>
    <m/>
    <m/>
  </r>
  <r>
    <n v="72"/>
    <s v="Trailer"/>
    <x v="0"/>
    <x v="7"/>
    <s v="ELITE"/>
    <x v="0"/>
    <d v="2021-10-19T00:00:00"/>
    <n v="102"/>
    <s v="Auckland"/>
    <s v="New Zealand"/>
    <s v="Trailer"/>
    <s v="Standard"/>
    <m/>
    <m/>
    <m/>
    <n v="4"/>
    <m/>
    <m/>
    <m/>
    <m/>
  </r>
  <r>
    <n v="73"/>
    <s v="Trailer"/>
    <x v="0"/>
    <x v="7"/>
    <s v="ELITE 7X4"/>
    <x v="0"/>
    <d v="2021-10-19T00:00:00"/>
    <n v="114"/>
    <s v="Canterbury"/>
    <s v="New Zealand"/>
    <s v="Trailer"/>
    <s v="Standard"/>
    <m/>
    <m/>
    <m/>
    <n v="4"/>
    <m/>
    <m/>
    <m/>
    <m/>
  </r>
  <r>
    <n v="74"/>
    <s v="Caravan"/>
    <x v="14"/>
    <x v="20"/>
    <s v="PIONEER"/>
    <x v="3"/>
    <d v="2021-10-19T00:00:00"/>
    <n v="104"/>
    <s v="Bay of Plenty"/>
    <s v="New Zealand"/>
    <s v="Oxford"/>
    <s v="Standard"/>
    <m/>
    <m/>
    <m/>
    <n v="1"/>
    <m/>
    <m/>
    <m/>
    <m/>
  </r>
  <r>
    <n v="75"/>
    <s v="Saloon"/>
    <x v="15"/>
    <x v="6"/>
    <s v="323I"/>
    <x v="3"/>
    <d v="2021-10-19T00:00:00"/>
    <n v="102"/>
    <s v="Auckland"/>
    <s v="New Zealand"/>
    <s v="BMW"/>
    <s v="Luxury"/>
    <m/>
    <m/>
    <m/>
    <n v="1"/>
    <m/>
    <m/>
    <m/>
    <m/>
  </r>
  <r>
    <n v="76"/>
    <s v="Trailer"/>
    <x v="0"/>
    <x v="10"/>
    <s v="7 X 4 STD"/>
    <x v="0"/>
    <d v="2021-10-19T00:00:00"/>
    <n v="102"/>
    <s v="Auckland"/>
    <s v="New Zealand"/>
    <s v="Trailer"/>
    <s v="Standard"/>
    <m/>
    <m/>
    <m/>
    <n v="4"/>
    <m/>
    <m/>
    <m/>
    <m/>
  </r>
  <r>
    <n v="77"/>
    <s v="Trailer"/>
    <x v="0"/>
    <x v="21"/>
    <s v="HOMEBUILT"/>
    <x v="4"/>
    <d v="2021-10-19T00:00:00"/>
    <n v="102"/>
    <s v="Auckland"/>
    <s v="New Zealand"/>
    <s v="Trailer"/>
    <s v="Standard"/>
    <m/>
    <m/>
    <m/>
    <n v="4"/>
    <m/>
    <m/>
    <m/>
    <m/>
  </r>
  <r>
    <n v="78"/>
    <s v="Boat Trailer"/>
    <x v="0"/>
    <x v="10"/>
    <s v="ENDURO"/>
    <x v="0"/>
    <d v="2021-10-21T00:00:00"/>
    <n v="104"/>
    <s v="Bay of Plenty"/>
    <s v="New Zealand"/>
    <s v="Trailer"/>
    <s v="Standard"/>
    <m/>
    <m/>
    <m/>
    <n v="4"/>
    <m/>
    <m/>
    <m/>
    <m/>
  </r>
  <r>
    <n v="79"/>
    <s v="Trailer"/>
    <x v="0"/>
    <x v="10"/>
    <s v="TRAYLA"/>
    <x v="0"/>
    <d v="2021-10-21T00:00:00"/>
    <n v="106"/>
    <s v="Hawke's Bay"/>
    <s v="New Zealand"/>
    <s v="Trailer"/>
    <s v="Standard"/>
    <m/>
    <m/>
    <m/>
    <n v="4"/>
    <m/>
    <m/>
    <m/>
    <m/>
  </r>
  <r>
    <n v="80"/>
    <s v="Trailer"/>
    <x v="0"/>
    <x v="10"/>
    <s v="ELITE 8X5"/>
    <x v="0"/>
    <d v="2021-10-21T00:00:00"/>
    <n v="114"/>
    <s v="Canterbury"/>
    <s v="New Zealand"/>
    <s v="Trailer"/>
    <s v="Standard"/>
    <m/>
    <m/>
    <m/>
    <n v="4"/>
    <m/>
    <m/>
    <m/>
    <m/>
  </r>
  <r>
    <n v="81"/>
    <s v="Trailer"/>
    <x v="0"/>
    <x v="10"/>
    <s v="COMPASS D105"/>
    <x v="0"/>
    <d v="2021-10-21T00:00:00"/>
    <n v="102"/>
    <s v="Auckland"/>
    <s v="New Zealand"/>
    <s v="Trailer"/>
    <s v="Standard"/>
    <m/>
    <m/>
    <m/>
    <n v="4"/>
    <m/>
    <m/>
    <m/>
    <m/>
  </r>
  <r>
    <n v="82"/>
    <s v="Trailer"/>
    <x v="0"/>
    <x v="10"/>
    <s v="DOMESTIC TRAILER"/>
    <x v="0"/>
    <d v="2021-10-22T00:00:00"/>
    <n v="103"/>
    <s v="Waikato"/>
    <s v="New Zealand"/>
    <s v="Trailer"/>
    <s v="Standard"/>
    <m/>
    <m/>
    <m/>
    <n v="2"/>
    <m/>
    <m/>
    <m/>
    <m/>
  </r>
  <r>
    <n v="83"/>
    <s v="Trailer - Heavy"/>
    <x v="0"/>
    <x v="12"/>
    <s v="TANK"/>
    <x v="3"/>
    <d v="2021-10-22T00:00:00"/>
    <n v="104"/>
    <s v="Bay of Plenty"/>
    <s v="New Zealand"/>
    <s v="Trailer"/>
    <s v="Standard"/>
    <m/>
    <m/>
    <m/>
    <n v="2"/>
    <m/>
    <m/>
    <m/>
    <m/>
  </r>
  <r>
    <n v="84"/>
    <s v="Stationwagon"/>
    <x v="16"/>
    <x v="10"/>
    <s v="ALLROAD"/>
    <x v="0"/>
    <d v="2021-10-24T00:00:00"/>
    <n v="109"/>
    <s v="Wellington"/>
    <s v="New Zealand"/>
    <s v="Audi"/>
    <s v="Standard"/>
    <m/>
    <m/>
    <m/>
    <n v="1"/>
    <m/>
    <m/>
    <m/>
    <m/>
  </r>
  <r>
    <n v="85"/>
    <s v="Trailer"/>
    <x v="0"/>
    <x v="10"/>
    <s v="ELITE 8X4"/>
    <x v="0"/>
    <d v="2021-10-24T00:00:00"/>
    <n v="114"/>
    <s v="Canterbury"/>
    <s v="New Zealand"/>
    <s v="Trailer"/>
    <s v="Standard"/>
    <m/>
    <m/>
    <m/>
    <n v="1"/>
    <m/>
    <m/>
    <m/>
    <m/>
  </r>
  <r>
    <n v="86"/>
    <s v="Roadbike"/>
    <x v="4"/>
    <x v="3"/>
    <s v="PIAGGIO"/>
    <x v="0"/>
    <d v="2021-10-24T00:00:00"/>
    <n v="102"/>
    <s v="Auckland"/>
    <s v="New Zealand"/>
    <s v="Vespa"/>
    <s v="Standard"/>
    <m/>
    <m/>
    <m/>
    <n v="1"/>
    <m/>
    <m/>
    <m/>
    <m/>
  </r>
  <r>
    <n v="87"/>
    <s v="Trailer"/>
    <x v="0"/>
    <x v="10"/>
    <s v="HELMACK 8X5"/>
    <x v="0"/>
    <d v="2021-10-25T00:00:00"/>
    <n v="114"/>
    <s v="Canterbury"/>
    <s v="New Zealand"/>
    <s v="Trailer"/>
    <s v="Standard"/>
    <m/>
    <m/>
    <m/>
    <n v="2"/>
    <m/>
    <m/>
    <m/>
    <m/>
  </r>
  <r>
    <n v="88"/>
    <s v="Trailer"/>
    <x v="0"/>
    <x v="22"/>
    <s v="LOCAL"/>
    <x v="6"/>
    <d v="2021-10-25T00:00:00"/>
    <n v="102"/>
    <s v="Auckland"/>
    <s v="New Zealand"/>
    <s v="Trailer"/>
    <s v="Standard"/>
    <m/>
    <m/>
    <m/>
    <n v="2"/>
    <m/>
    <m/>
    <m/>
    <m/>
  </r>
  <r>
    <n v="89"/>
    <s v="Trailer"/>
    <x v="0"/>
    <x v="10"/>
    <s v="SINGLE AXLE"/>
    <x v="0"/>
    <d v="2021-10-26T00:00:00"/>
    <n v="103"/>
    <s v="Waikato"/>
    <s v="New Zealand"/>
    <s v="Trailer"/>
    <s v="Standard"/>
    <m/>
    <m/>
    <m/>
    <n v="1"/>
    <m/>
    <m/>
    <m/>
    <m/>
  </r>
  <r>
    <n v="90"/>
    <s v="Boat Trailer"/>
    <x v="0"/>
    <x v="18"/>
    <s v="BOAT"/>
    <x v="0"/>
    <d v="2021-10-27T00:00:00"/>
    <n v="104"/>
    <s v="Bay of Plenty"/>
    <s v="New Zealand"/>
    <s v="Trailer"/>
    <s v="Standard"/>
    <m/>
    <m/>
    <m/>
    <n v="2"/>
    <m/>
    <m/>
    <m/>
    <m/>
  </r>
  <r>
    <n v="91"/>
    <s v="Trailer"/>
    <x v="0"/>
    <x v="23"/>
    <s v="HOMEBUILT"/>
    <x v="2"/>
    <d v="2021-10-27T00:00:00"/>
    <n v="104"/>
    <s v="Bay of Plenty"/>
    <s v="New Zealand"/>
    <s v="Trailer"/>
    <s v="Standard"/>
    <m/>
    <m/>
    <m/>
    <n v="2"/>
    <m/>
    <m/>
    <m/>
    <m/>
  </r>
  <r>
    <n v="92"/>
    <s v="Trailer"/>
    <x v="0"/>
    <x v="9"/>
    <s v="PRESCOTT"/>
    <x v="0"/>
    <d v="2021-10-28T00:00:00"/>
    <n v="104"/>
    <s v="Bay of Plenty"/>
    <s v="New Zealand"/>
    <s v="Trailer"/>
    <s v="Standard"/>
    <m/>
    <m/>
    <m/>
    <n v="2"/>
    <m/>
    <m/>
    <m/>
    <m/>
  </r>
  <r>
    <n v="93"/>
    <s v="Trailer"/>
    <x v="8"/>
    <x v="24"/>
    <s v="TRAILER"/>
    <x v="0"/>
    <d v="2021-10-28T00:00:00"/>
    <n v="102"/>
    <s v="Auckland"/>
    <s v="New Zealand"/>
    <s v="Homebuilt"/>
    <s v="Standard"/>
    <m/>
    <m/>
    <m/>
    <n v="1"/>
    <m/>
    <m/>
    <m/>
    <m/>
  </r>
  <r>
    <n v="94"/>
    <s v="Trailer"/>
    <x v="0"/>
    <x v="1"/>
    <s v="COMPASS-C85"/>
    <x v="0"/>
    <d v="2021-10-28T00:00:00"/>
    <n v="102"/>
    <s v="Auckland"/>
    <s v="New Zealand"/>
    <s v="Trailer"/>
    <s v="Standard"/>
    <m/>
    <m/>
    <m/>
    <n v="2"/>
    <m/>
    <m/>
    <m/>
    <m/>
  </r>
  <r>
    <n v="95"/>
    <s v="Trailer"/>
    <x v="17"/>
    <x v="1"/>
    <s v="DOMESTIC TRAILER"/>
    <x v="0"/>
    <d v="2021-10-29T00:00:00"/>
    <n v="102"/>
    <s v="Auckland"/>
    <s v="New Zealand"/>
    <s v="Titan"/>
    <s v="Standard"/>
    <m/>
    <m/>
    <m/>
    <n v="1"/>
    <m/>
    <m/>
    <m/>
    <m/>
  </r>
  <r>
    <n v="96"/>
    <s v="Trailer"/>
    <x v="9"/>
    <x v="25"/>
    <s v="TANDEM"/>
    <x v="0"/>
    <d v="2021-10-29T00:00:00"/>
    <n v="102"/>
    <s v="Auckland"/>
    <s v="New Zealand"/>
    <s v="Custombuilt"/>
    <s v="Standard"/>
    <m/>
    <m/>
    <m/>
    <n v="1"/>
    <m/>
    <m/>
    <m/>
    <m/>
  </r>
  <r>
    <n v="97"/>
    <s v="Roadbike"/>
    <x v="5"/>
    <x v="2"/>
    <s v="VT"/>
    <x v="7"/>
    <d v="2021-10-29T00:00:00"/>
    <n v="102"/>
    <s v="Auckland"/>
    <s v="New Zealand"/>
    <s v="Honda"/>
    <s v="Standard"/>
    <m/>
    <m/>
    <m/>
    <n v="2"/>
    <m/>
    <m/>
    <m/>
    <m/>
  </r>
  <r>
    <n v="98"/>
    <s v="Roadbike"/>
    <x v="5"/>
    <x v="9"/>
    <s v="CBR"/>
    <x v="2"/>
    <d v="2021-10-29T00:00:00"/>
    <n v="114"/>
    <s v="Canterbury"/>
    <s v="New Zealand"/>
    <s v="Honda"/>
    <s v="Standard"/>
    <m/>
    <m/>
    <m/>
    <n v="2"/>
    <m/>
    <m/>
    <m/>
    <m/>
  </r>
  <r>
    <n v="99"/>
    <s v="Trailer"/>
    <x v="0"/>
    <x v="26"/>
    <s v="HOMEBUILT"/>
    <x v="1"/>
    <d v="2021-10-29T00:00:00"/>
    <n v="102"/>
    <s v="Auckland"/>
    <s v="New Zealand"/>
    <s v="Trailer"/>
    <s v="Standard"/>
    <m/>
    <m/>
    <m/>
    <n v="1"/>
    <m/>
    <m/>
    <m/>
    <m/>
  </r>
  <r>
    <n v="100"/>
    <s v="Boat Trailer"/>
    <x v="0"/>
    <x v="0"/>
    <s v="JETSKI ACTION LAB"/>
    <x v="4"/>
    <d v="2021-10-30T00:00:00"/>
    <n v="103"/>
    <s v="Waikato"/>
    <s v="New Zealand"/>
    <s v="Trailer"/>
    <s v="Standard"/>
    <m/>
    <m/>
    <m/>
    <n v="2"/>
    <m/>
    <m/>
    <m/>
    <m/>
  </r>
  <r>
    <n v="101"/>
    <s v="Trailer"/>
    <x v="0"/>
    <x v="9"/>
    <s v="HOMEBUILT"/>
    <x v="0"/>
    <d v="2021-10-30T00:00:00"/>
    <n v="106"/>
    <s v="Hawke's Bay"/>
    <s v="New Zealand"/>
    <s v="Trailer"/>
    <s v="Standard"/>
    <m/>
    <m/>
    <m/>
    <n v="2"/>
    <m/>
    <m/>
    <m/>
    <m/>
  </r>
  <r>
    <n v="102"/>
    <s v="Trailer"/>
    <x v="8"/>
    <x v="26"/>
    <s v="TRAILER"/>
    <x v="1"/>
    <d v="2021-10-31T00:00:00"/>
    <n v="104"/>
    <s v="Bay of Plenty"/>
    <s v="New Zealand"/>
    <s v="Homebuilt"/>
    <s v="Standard"/>
    <m/>
    <m/>
    <m/>
    <n v="1"/>
    <m/>
    <m/>
    <m/>
    <m/>
  </r>
  <r>
    <n v="103"/>
    <s v="Trailer"/>
    <x v="0"/>
    <x v="12"/>
    <s v="MARTIN ENGINEERING"/>
    <x v="3"/>
    <d v="2021-10-31T00:00:00"/>
    <n v="102"/>
    <s v="Auckland"/>
    <s v="New Zealand"/>
    <s v="Trailer"/>
    <s v="Standard"/>
    <m/>
    <m/>
    <m/>
    <n v="2"/>
    <m/>
    <m/>
    <m/>
    <m/>
  </r>
  <r>
    <n v="104"/>
    <s v="Trailer"/>
    <x v="0"/>
    <x v="1"/>
    <s v="TUFF"/>
    <x v="0"/>
    <d v="2021-10-31T00:00:00"/>
    <n v="104"/>
    <s v="Bay of Plenty"/>
    <s v="New Zealand"/>
    <s v="Trailer"/>
    <s v="Standard"/>
    <m/>
    <m/>
    <m/>
    <n v="2"/>
    <m/>
    <m/>
    <m/>
    <m/>
  </r>
  <r>
    <n v="105"/>
    <s v="Trailer"/>
    <x v="0"/>
    <x v="27"/>
    <s v="LOCAL"/>
    <x v="8"/>
    <d v="2021-11-10T00:00:00"/>
    <n v="104"/>
    <s v="Bay of Plenty"/>
    <s v="New Zealand"/>
    <s v="Trailer"/>
    <s v="Standard"/>
    <m/>
    <m/>
    <m/>
    <n v="3"/>
    <m/>
    <m/>
    <m/>
    <m/>
  </r>
  <r>
    <n v="106"/>
    <s v="Trailer - Heavy"/>
    <x v="0"/>
    <x v="1"/>
    <s v="8X4 TRAYLA"/>
    <x v="0"/>
    <d v="2021-11-10T00:00:00"/>
    <n v="106"/>
    <s v="Hawke's Bay"/>
    <s v="New Zealand"/>
    <s v="Trailer"/>
    <s v="Standard"/>
    <m/>
    <m/>
    <m/>
    <n v="3"/>
    <m/>
    <m/>
    <m/>
    <m/>
  </r>
  <r>
    <n v="107"/>
    <s v="Trailer"/>
    <x v="0"/>
    <x v="28"/>
    <s v="HOMEMADE"/>
    <x v="2"/>
    <d v="2021-11-10T00:00:00"/>
    <n v="111"/>
    <s v="Nelson"/>
    <s v="New Zealand"/>
    <s v="Trailer"/>
    <s v="Standard"/>
    <m/>
    <m/>
    <m/>
    <n v="3"/>
    <m/>
    <m/>
    <m/>
    <m/>
  </r>
  <r>
    <n v="108"/>
    <s v="Trailer - Heavy"/>
    <x v="0"/>
    <x v="1"/>
    <s v="NYMIC"/>
    <x v="3"/>
    <d v="2021-11-11T00:00:00"/>
    <n v="114"/>
    <s v="Canterbury"/>
    <s v="New Zealand"/>
    <s v="Trailer"/>
    <s v="Standard"/>
    <m/>
    <m/>
    <m/>
    <n v="1"/>
    <m/>
    <m/>
    <m/>
    <m/>
  </r>
  <r>
    <n v="109"/>
    <s v="Trailer"/>
    <x v="0"/>
    <x v="26"/>
    <s v="TRAILER"/>
    <x v="0"/>
    <d v="2021-11-12T00:00:00"/>
    <n v="102"/>
    <s v="Auckland"/>
    <s v="New Zealand"/>
    <s v="Trailer"/>
    <s v="Standard"/>
    <m/>
    <m/>
    <m/>
    <n v="2"/>
    <m/>
    <m/>
    <m/>
    <m/>
  </r>
  <r>
    <n v="110"/>
    <s v="Trailer"/>
    <x v="0"/>
    <x v="29"/>
    <s v="TANDEM"/>
    <x v="4"/>
    <d v="2021-11-12T00:00:00"/>
    <n v="109"/>
    <s v="Wellington"/>
    <s v="New Zealand"/>
    <s v="Trailer"/>
    <s v="Standard"/>
    <m/>
    <m/>
    <m/>
    <n v="2"/>
    <m/>
    <m/>
    <m/>
    <m/>
  </r>
  <r>
    <n v="111"/>
    <s v="Trailer"/>
    <x v="0"/>
    <x v="26"/>
    <s v="COMPASS-D116K"/>
    <x v="0"/>
    <d v="2021-11-13T00:00:00"/>
    <n v="106"/>
    <s v="Hawke's Bay"/>
    <s v="New Zealand"/>
    <s v="Trailer"/>
    <s v="Standard"/>
    <m/>
    <m/>
    <m/>
    <n v="2"/>
    <m/>
    <m/>
    <m/>
    <m/>
  </r>
  <r>
    <n v="112"/>
    <s v="Roadbike"/>
    <x v="18"/>
    <x v="5"/>
    <s v="FXSTDI"/>
    <x v="7"/>
    <d v="2021-11-13T00:00:00"/>
    <n v="102"/>
    <s v="Auckland"/>
    <s v="New Zealand"/>
    <s v="Harley Davidson"/>
    <s v="Standard"/>
    <m/>
    <m/>
    <m/>
    <n v="1"/>
    <m/>
    <m/>
    <m/>
    <m/>
  </r>
  <r>
    <n v="113"/>
    <s v="Trailer"/>
    <x v="0"/>
    <x v="30"/>
    <s v="LOCAL"/>
    <x v="4"/>
    <d v="2021-11-13T00:00:00"/>
    <n v="114"/>
    <s v="Canterbury"/>
    <s v="New Zealand"/>
    <s v="Trailer"/>
    <s v="Standard"/>
    <m/>
    <m/>
    <m/>
    <n v="2"/>
    <m/>
    <m/>
    <m/>
    <m/>
  </r>
  <r>
    <n v="114"/>
    <s v="Caravan"/>
    <x v="19"/>
    <x v="19"/>
    <s v="SWIFT CHARISMA 230"/>
    <x v="3"/>
    <d v="2021-11-14T00:00:00"/>
    <n v="102"/>
    <s v="Auckland"/>
    <s v="New Zealand"/>
    <s v="Caravan"/>
    <s v="Standard"/>
    <m/>
    <m/>
    <m/>
    <n v="1"/>
    <m/>
    <m/>
    <m/>
    <m/>
  </r>
  <r>
    <n v="115"/>
    <s v="Trailer"/>
    <x v="0"/>
    <x v="1"/>
    <s v="TANK"/>
    <x v="0"/>
    <d v="2021-11-15T00:00:00"/>
    <n v="114"/>
    <s v="Canterbury"/>
    <s v="New Zealand"/>
    <s v="Trailer"/>
    <s v="Standard"/>
    <m/>
    <m/>
    <m/>
    <n v="2"/>
    <m/>
    <m/>
    <m/>
    <m/>
  </r>
  <r>
    <n v="116"/>
    <s v="Tractor"/>
    <x v="20"/>
    <x v="6"/>
    <s v="FERGUSSON"/>
    <x v="7"/>
    <d v="2021-11-15T00:00:00"/>
    <n v="103"/>
    <s v="Waikato"/>
    <s v="New Zealand"/>
    <s v="Massey"/>
    <s v="Standard"/>
    <m/>
    <m/>
    <m/>
    <n v="1"/>
    <m/>
    <m/>
    <m/>
    <m/>
  </r>
  <r>
    <n v="117"/>
    <s v="Trailer"/>
    <x v="0"/>
    <x v="26"/>
    <s v="BST85"/>
    <x v="0"/>
    <d v="2021-11-15T00:00:00"/>
    <n v="109"/>
    <s v="Wellington"/>
    <s v="New Zealand"/>
    <s v="Trailer"/>
    <s v="Standard"/>
    <m/>
    <m/>
    <m/>
    <n v="2"/>
    <m/>
    <m/>
    <m/>
    <m/>
  </r>
  <r>
    <n v="118"/>
    <s v="Roadbike"/>
    <x v="6"/>
    <x v="13"/>
    <s v="LS650P"/>
    <x v="1"/>
    <d v="2021-11-15T00:00:00"/>
    <n v="101"/>
    <s v="Northland"/>
    <s v="New Zealand"/>
    <s v="Suzuki"/>
    <s v="Standard"/>
    <m/>
    <m/>
    <m/>
    <n v="1"/>
    <m/>
    <m/>
    <m/>
    <m/>
  </r>
  <r>
    <n v="119"/>
    <s v="Boat Trailer"/>
    <x v="21"/>
    <x v="26"/>
    <s v="JET SKI"/>
    <x v="1"/>
    <d v="2021-11-15T00:00:00"/>
    <n v="102"/>
    <s v="Auckland"/>
    <s v="New Zealand"/>
    <s v="Trojan"/>
    <s v="Standard"/>
    <m/>
    <m/>
    <m/>
    <n v="1"/>
    <m/>
    <m/>
    <m/>
    <m/>
  </r>
  <r>
    <n v="120"/>
    <s v="Trailer"/>
    <x v="0"/>
    <x v="26"/>
    <s v="VULCAN"/>
    <x v="0"/>
    <d v="2021-11-16T00:00:00"/>
    <n v="102"/>
    <s v="Auckland"/>
    <s v="New Zealand"/>
    <s v="Trailer"/>
    <s v="Standard"/>
    <m/>
    <m/>
    <m/>
    <n v="1"/>
    <m/>
    <m/>
    <m/>
    <m/>
  </r>
  <r>
    <n v="121"/>
    <s v="Boat Trailer"/>
    <x v="8"/>
    <x v="31"/>
    <s v="EZ LOADER STABI CRAF"/>
    <x v="4"/>
    <d v="2021-11-16T00:00:00"/>
    <n v="114"/>
    <s v="Canterbury"/>
    <s v="New Zealand"/>
    <s v="Homebuilt"/>
    <s v="Standard"/>
    <m/>
    <m/>
    <m/>
    <n v="1"/>
    <m/>
    <m/>
    <m/>
    <m/>
  </r>
  <r>
    <n v="122"/>
    <s v="Boat Trailer"/>
    <x v="0"/>
    <x v="11"/>
    <s v="MCLAY"/>
    <x v="0"/>
    <d v="2021-11-17T00:00:00"/>
    <n v="105"/>
    <s v="Gisborne"/>
    <s v="New Zealand"/>
    <s v="Trailer"/>
    <s v="Standard"/>
    <m/>
    <m/>
    <m/>
    <n v="1"/>
    <m/>
    <m/>
    <m/>
    <m/>
  </r>
  <r>
    <n v="123"/>
    <s v="Trailer"/>
    <x v="0"/>
    <x v="29"/>
    <s v="ENSOL TANKER"/>
    <x v="0"/>
    <d v="2021-11-18T00:00:00"/>
    <n v="108"/>
    <s v="Manawatū-Whanganui"/>
    <s v="New Zealand"/>
    <s v="Trailer"/>
    <s v="Standard"/>
    <m/>
    <m/>
    <m/>
    <n v="1"/>
    <m/>
    <m/>
    <m/>
    <m/>
  </r>
  <r>
    <n v="124"/>
    <s v="Roadbike"/>
    <x v="11"/>
    <x v="18"/>
    <s v="EX"/>
    <x v="7"/>
    <d v="2021-11-21T00:00:00"/>
    <n v="102"/>
    <s v="Auckland"/>
    <s v="New Zealand"/>
    <s v="Kawasaki"/>
    <s v="Standard"/>
    <m/>
    <m/>
    <m/>
    <n v="1"/>
    <m/>
    <m/>
    <m/>
    <m/>
  </r>
  <r>
    <n v="125"/>
    <s v="Moped"/>
    <x v="22"/>
    <x v="18"/>
    <s v="HYOSUNG SB49M"/>
    <x v="7"/>
    <d v="2021-11-21T00:00:00"/>
    <n v="102"/>
    <s v="Auckland"/>
    <s v="New Zealand"/>
    <s v="Moped"/>
    <s v="Standard"/>
    <m/>
    <m/>
    <m/>
    <n v="1"/>
    <m/>
    <m/>
    <m/>
    <m/>
  </r>
  <r>
    <n v="126"/>
    <s v="Trailer"/>
    <x v="0"/>
    <x v="24"/>
    <s v="BRIFORD"/>
    <x v="4"/>
    <d v="2021-11-22T00:00:00"/>
    <n v="114"/>
    <s v="Canterbury"/>
    <s v="New Zealand"/>
    <s v="Trailer"/>
    <s v="Standard"/>
    <m/>
    <m/>
    <m/>
    <n v="4"/>
    <m/>
    <m/>
    <m/>
    <m/>
  </r>
  <r>
    <n v="127"/>
    <s v="Boat Trailer"/>
    <x v="0"/>
    <x v="9"/>
    <s v="REID"/>
    <x v="0"/>
    <d v="2021-11-22T00:00:00"/>
    <n v="102"/>
    <s v="Auckland"/>
    <s v="New Zealand"/>
    <s v="Trailer"/>
    <s v="Standard"/>
    <m/>
    <m/>
    <m/>
    <n v="4"/>
    <m/>
    <m/>
    <m/>
    <m/>
  </r>
  <r>
    <n v="128"/>
    <s v="Boat Trailer"/>
    <x v="8"/>
    <x v="32"/>
    <s v="15X7"/>
    <x v="3"/>
    <d v="2021-11-22T00:00:00"/>
    <n v="114"/>
    <s v="Canterbury"/>
    <s v="New Zealand"/>
    <s v="Homebuilt"/>
    <s v="Standard"/>
    <m/>
    <m/>
    <m/>
    <n v="1"/>
    <m/>
    <m/>
    <m/>
    <m/>
  </r>
  <r>
    <n v="129"/>
    <s v="Trailer"/>
    <x v="0"/>
    <x v="12"/>
    <s v="KEA"/>
    <x v="4"/>
    <d v="2021-11-22T00:00:00"/>
    <n v="111"/>
    <s v="Nelson"/>
    <s v="New Zealand"/>
    <s v="Trailer"/>
    <s v="Standard"/>
    <m/>
    <m/>
    <m/>
    <n v="4"/>
    <m/>
    <m/>
    <m/>
    <m/>
  </r>
  <r>
    <n v="130"/>
    <s v="Trailer"/>
    <x v="0"/>
    <x v="29"/>
    <s v="ROADCHIEF"/>
    <x v="4"/>
    <d v="2021-11-22T00:00:00"/>
    <n v="101"/>
    <s v="Northland"/>
    <s v="New Zealand"/>
    <s v="Trailer"/>
    <s v="Standard"/>
    <m/>
    <m/>
    <m/>
    <n v="4"/>
    <m/>
    <m/>
    <m/>
    <m/>
  </r>
  <r>
    <n v="131"/>
    <s v="Roadbike"/>
    <x v="23"/>
    <x v="8"/>
    <s v="EXC"/>
    <x v="9"/>
    <d v="2021-11-24T00:00:00"/>
    <n v="101"/>
    <s v="Northland"/>
    <s v="New Zealand"/>
    <s v="KTM"/>
    <s v="Standard"/>
    <m/>
    <m/>
    <m/>
    <n v="1"/>
    <m/>
    <m/>
    <m/>
    <m/>
  </r>
  <r>
    <n v="132"/>
    <s v="Trailer"/>
    <x v="0"/>
    <x v="29"/>
    <s v="JOBMATE"/>
    <x v="0"/>
    <d v="2021-11-24T00:00:00"/>
    <n v="104"/>
    <s v="Bay of Plenty"/>
    <s v="New Zealand"/>
    <s v="Trailer"/>
    <s v="Standard"/>
    <m/>
    <m/>
    <m/>
    <n v="1"/>
    <m/>
    <m/>
    <m/>
    <m/>
  </r>
  <r>
    <n v="133"/>
    <s v="Trailer"/>
    <x v="0"/>
    <x v="26"/>
    <s v="ENSOL TANKER"/>
    <x v="0"/>
    <d v="2021-11-25T00:00:00"/>
    <n v="108"/>
    <s v="Manawatū-Whanganui"/>
    <s v="New Zealand"/>
    <s v="Trailer"/>
    <s v="Standard"/>
    <m/>
    <m/>
    <m/>
    <n v="4"/>
    <m/>
    <m/>
    <m/>
    <m/>
  </r>
  <r>
    <n v="134"/>
    <s v="Trailer"/>
    <x v="0"/>
    <x v="29"/>
    <s v="BRAKED TANDEM"/>
    <x v="0"/>
    <d v="2021-11-25T00:00:00"/>
    <n v="104"/>
    <s v="Bay of Plenty"/>
    <s v="New Zealand"/>
    <s v="Trailer"/>
    <s v="Standard"/>
    <m/>
    <m/>
    <m/>
    <n v="4"/>
    <m/>
    <m/>
    <m/>
    <m/>
  </r>
  <r>
    <n v="135"/>
    <s v="Trailer"/>
    <x v="0"/>
    <x v="28"/>
    <s v="HARENG"/>
    <x v="4"/>
    <d v="2021-11-25T00:00:00"/>
    <n v="103"/>
    <s v="Waikato"/>
    <s v="New Zealand"/>
    <s v="Trailer"/>
    <s v="Standard"/>
    <m/>
    <m/>
    <m/>
    <n v="4"/>
    <m/>
    <m/>
    <m/>
    <m/>
  </r>
  <r>
    <n v="136"/>
    <s v="Trailer"/>
    <x v="0"/>
    <x v="29"/>
    <s v="HOMEBUILT"/>
    <x v="0"/>
    <d v="2021-11-25T00:00:00"/>
    <n v="115"/>
    <s v="Otago"/>
    <s v="New Zealand"/>
    <s v="Trailer"/>
    <s v="Standard"/>
    <m/>
    <m/>
    <m/>
    <n v="4"/>
    <m/>
    <m/>
    <m/>
    <m/>
  </r>
  <r>
    <n v="137"/>
    <s v="Trailer"/>
    <x v="17"/>
    <x v="29"/>
    <s v="DOMESTIC TRAILER"/>
    <x v="0"/>
    <d v="2021-11-26T00:00:00"/>
    <n v="102"/>
    <s v="Auckland"/>
    <s v="New Zealand"/>
    <s v="Titan"/>
    <s v="Standard"/>
    <m/>
    <m/>
    <m/>
    <n v="1"/>
    <m/>
    <m/>
    <m/>
    <m/>
  </r>
  <r>
    <n v="138"/>
    <s v="Trailer"/>
    <x v="0"/>
    <x v="33"/>
    <s v="HOMEMADE"/>
    <x v="5"/>
    <d v="2021-11-26T00:00:00"/>
    <n v="114"/>
    <s v="Canterbury"/>
    <s v="New Zealand"/>
    <s v="Trailer"/>
    <s v="Standard"/>
    <m/>
    <m/>
    <m/>
    <n v="1"/>
    <m/>
    <m/>
    <m/>
    <m/>
  </r>
  <r>
    <n v="139"/>
    <s v="Trailer"/>
    <x v="0"/>
    <x v="16"/>
    <s v="SPACEE 2000"/>
    <x v="3"/>
    <d v="2021-11-27T00:00:00"/>
    <n v="107"/>
    <s v="Taranaki"/>
    <s v="New Zealand"/>
    <s v="Trailer"/>
    <s v="Standard"/>
    <m/>
    <m/>
    <m/>
    <n v="1"/>
    <m/>
    <m/>
    <m/>
    <m/>
  </r>
  <r>
    <n v="140"/>
    <s v="Trailer"/>
    <x v="2"/>
    <x v="1"/>
    <s v="8X4 TANDEM TIPPER"/>
    <x v="0"/>
    <d v="2021-11-27T00:00:00"/>
    <n v="114"/>
    <s v="Canterbury"/>
    <s v="New Zealand"/>
    <s v="Briford"/>
    <s v="Standard"/>
    <m/>
    <m/>
    <m/>
    <n v="1"/>
    <m/>
    <m/>
    <m/>
    <m/>
  </r>
  <r>
    <n v="141"/>
    <s v="Trailer"/>
    <x v="3"/>
    <x v="29"/>
    <s v="BRENT SMITH TRAILERS"/>
    <x v="0"/>
    <d v="2021-11-29T00:00:00"/>
    <n v="109"/>
    <s v="Wellington"/>
    <s v="New Zealand"/>
    <s v="Factory Built"/>
    <s v="Standard"/>
    <m/>
    <m/>
    <m/>
    <n v="1"/>
    <m/>
    <m/>
    <m/>
    <m/>
  </r>
  <r>
    <n v="142"/>
    <s v="Trailer"/>
    <x v="0"/>
    <x v="29"/>
    <s v="TASMAN8X5TB"/>
    <x v="0"/>
    <d v="2021-11-30T00:00:00"/>
    <n v="111"/>
    <s v="Nelson"/>
    <s v="New Zealand"/>
    <s v="Trailer"/>
    <s v="Standard"/>
    <m/>
    <m/>
    <m/>
    <n v="2"/>
    <m/>
    <m/>
    <m/>
    <m/>
  </r>
  <r>
    <n v="143"/>
    <s v="Boat Trailer"/>
    <x v="0"/>
    <x v="29"/>
    <s v="MAKZ"/>
    <x v="0"/>
    <d v="2021-11-30T00:00:00"/>
    <n v="109"/>
    <s v="Wellington"/>
    <s v="New Zealand"/>
    <s v="Trailer"/>
    <s v="Standard"/>
    <m/>
    <m/>
    <m/>
    <n v="2"/>
    <m/>
    <m/>
    <m/>
    <m/>
  </r>
  <r>
    <n v="144"/>
    <s v="Trailer"/>
    <x v="24"/>
    <x v="29"/>
    <s v="ENCLOSED TRAILER"/>
    <x v="0"/>
    <d v="2021-11-30T00:00:00"/>
    <n v="102"/>
    <s v="Auckland"/>
    <s v="New Zealand"/>
    <s v="Pinto"/>
    <s v="Standard"/>
    <m/>
    <m/>
    <m/>
    <n v="1"/>
    <m/>
    <m/>
    <m/>
    <m/>
  </r>
  <r>
    <n v="145"/>
    <s v="Trailer"/>
    <x v="0"/>
    <x v="29"/>
    <s v="ELITE 8X4"/>
    <x v="0"/>
    <d v="2021-12-10T00:00:00"/>
    <n v="114"/>
    <s v="Canterbury"/>
    <s v="New Zealand"/>
    <s v="Trailer"/>
    <s v="Standard"/>
    <m/>
    <m/>
    <m/>
    <n v="3"/>
    <m/>
    <m/>
    <m/>
    <m/>
  </r>
  <r>
    <n v="146"/>
    <s v="Trailer - Heavy"/>
    <x v="0"/>
    <x v="29"/>
    <s v="TRANSPORTER"/>
    <x v="0"/>
    <d v="2021-12-10T00:00:00"/>
    <n v="105"/>
    <s v="Gisborne"/>
    <s v="New Zealand"/>
    <s v="Trailer"/>
    <s v="Standard"/>
    <m/>
    <m/>
    <m/>
    <n v="3"/>
    <m/>
    <m/>
    <m/>
    <m/>
  </r>
  <r>
    <n v="147"/>
    <s v="Trailer"/>
    <x v="0"/>
    <x v="29"/>
    <s v="DOMESTIC"/>
    <x v="4"/>
    <d v="2021-12-10T00:00:00"/>
    <n v="102"/>
    <s v="Auckland"/>
    <s v="New Zealand"/>
    <s v="Trailer"/>
    <s v="Standard"/>
    <m/>
    <m/>
    <m/>
    <n v="3"/>
    <m/>
    <m/>
    <m/>
    <m/>
  </r>
  <r>
    <n v="148"/>
    <s v="Trailer"/>
    <x v="3"/>
    <x v="10"/>
    <s v="DOMESTIC TRAILER"/>
    <x v="0"/>
    <d v="2021-12-10T00:00:00"/>
    <n v="101"/>
    <s v="Northland"/>
    <s v="New Zealand"/>
    <s v="Factory Built"/>
    <s v="Standard"/>
    <m/>
    <m/>
    <m/>
    <n v="1"/>
    <m/>
    <m/>
    <m/>
    <m/>
  </r>
  <r>
    <n v="149"/>
    <s v="Trailer - Heavy"/>
    <x v="2"/>
    <x v="10"/>
    <s v="TRAILER 8X4"/>
    <x v="0"/>
    <d v="2021-12-10T00:00:00"/>
    <n v="102"/>
    <s v="Auckland"/>
    <s v="New Zealand"/>
    <s v="Briford"/>
    <s v="Standard"/>
    <m/>
    <m/>
    <m/>
    <n v="1"/>
    <m/>
    <m/>
    <m/>
    <m/>
  </r>
  <r>
    <n v="150"/>
    <s v="Caravan"/>
    <x v="19"/>
    <x v="18"/>
    <s v="XPLORE 452"/>
    <x v="3"/>
    <d v="2021-12-11T00:00:00"/>
    <n v="104"/>
    <s v="Bay of Plenty"/>
    <s v="New Zealand"/>
    <s v="Caravan"/>
    <s v="Standard"/>
    <m/>
    <m/>
    <m/>
    <n v="1"/>
    <m/>
    <m/>
    <m/>
    <m/>
  </r>
  <r>
    <n v="151"/>
    <s v="Trailer"/>
    <x v="24"/>
    <x v="10"/>
    <s v="BRAKED TANDEM"/>
    <x v="0"/>
    <d v="2021-12-11T00:00:00"/>
    <n v="103"/>
    <s v="Waikato"/>
    <s v="New Zealand"/>
    <s v="Pinto"/>
    <s v="Standard"/>
    <m/>
    <m/>
    <m/>
    <n v="1"/>
    <m/>
    <m/>
    <m/>
    <m/>
  </r>
  <r>
    <n v="152"/>
    <s v="Trailer"/>
    <x v="0"/>
    <x v="10"/>
    <s v="HOBBS"/>
    <x v="0"/>
    <d v="2021-12-11T00:00:00"/>
    <n v="105"/>
    <s v="Gisborne"/>
    <s v="New Zealand"/>
    <s v="Trailer"/>
    <s v="Standard"/>
    <m/>
    <m/>
    <m/>
    <n v="2"/>
    <m/>
    <m/>
    <m/>
    <m/>
  </r>
  <r>
    <n v="153"/>
    <s v="Trailer"/>
    <x v="0"/>
    <x v="10"/>
    <s v="WILPRO"/>
    <x v="0"/>
    <d v="2021-12-11T00:00:00"/>
    <n v="104"/>
    <s v="Bay of Plenty"/>
    <s v="New Zealand"/>
    <s v="Trailer"/>
    <s v="Standard"/>
    <m/>
    <m/>
    <m/>
    <n v="2"/>
    <m/>
    <m/>
    <m/>
    <m/>
  </r>
  <r>
    <n v="154"/>
    <s v="Trailer - Heavy"/>
    <x v="2"/>
    <x v="10"/>
    <s v="TRAILER"/>
    <x v="0"/>
    <d v="2021-12-13T00:00:00"/>
    <n v="102"/>
    <s v="Auckland"/>
    <s v="New Zealand"/>
    <s v="Briford"/>
    <s v="Standard"/>
    <m/>
    <m/>
    <m/>
    <n v="3"/>
    <m/>
    <m/>
    <m/>
    <m/>
  </r>
  <r>
    <n v="155"/>
    <s v="Trailer - Heavy"/>
    <x v="2"/>
    <x v="10"/>
    <s v="TRAILER"/>
    <x v="0"/>
    <d v="2021-12-13T00:00:00"/>
    <n v="102"/>
    <s v="Auckland"/>
    <s v="New Zealand"/>
    <s v="Briford"/>
    <s v="Standard"/>
    <m/>
    <m/>
    <m/>
    <n v="3"/>
    <m/>
    <m/>
    <m/>
    <m/>
  </r>
  <r>
    <n v="156"/>
    <s v="Trailer - Heavy"/>
    <x v="2"/>
    <x v="10"/>
    <s v="OTHER COMMERCIAL TRA"/>
    <x v="0"/>
    <d v="2021-12-13T00:00:00"/>
    <n v="114"/>
    <s v="Canterbury"/>
    <s v="New Zealand"/>
    <s v="Briford"/>
    <s v="Standard"/>
    <m/>
    <m/>
    <m/>
    <n v="3"/>
    <m/>
    <m/>
    <m/>
    <m/>
  </r>
  <r>
    <n v="157"/>
    <s v="Trailer"/>
    <x v="0"/>
    <x v="10"/>
    <s v="SINGLE AXLE 7X4"/>
    <x v="0"/>
    <d v="2021-12-13T00:00:00"/>
    <n v="114"/>
    <s v="Canterbury"/>
    <s v="New Zealand"/>
    <s v="Trailer"/>
    <s v="Standard"/>
    <m/>
    <m/>
    <m/>
    <n v="1"/>
    <m/>
    <m/>
    <m/>
    <m/>
  </r>
  <r>
    <n v="158"/>
    <s v="Caravan"/>
    <x v="25"/>
    <x v="6"/>
    <s v="ALPINE 4T2A"/>
    <x v="3"/>
    <d v="2021-12-14T00:00:00"/>
    <n v="109"/>
    <s v="Wellington"/>
    <s v="New Zealand"/>
    <s v="Sprite"/>
    <s v="Standard"/>
    <m/>
    <m/>
    <m/>
    <n v="1"/>
    <m/>
    <m/>
    <m/>
    <m/>
  </r>
  <r>
    <n v="159"/>
    <s v="Trailer"/>
    <x v="0"/>
    <x v="10"/>
    <s v="FACTORY BUILT"/>
    <x v="0"/>
    <d v="2021-12-14T00:00:00"/>
    <n v="106"/>
    <s v="Hawke's Bay"/>
    <s v="New Zealand"/>
    <s v="Trailer"/>
    <s v="Standard"/>
    <m/>
    <m/>
    <m/>
    <n v="2"/>
    <m/>
    <m/>
    <m/>
    <m/>
  </r>
  <r>
    <n v="160"/>
    <s v="Saloon"/>
    <x v="26"/>
    <x v="31"/>
    <s v="SKYLINE"/>
    <x v="2"/>
    <d v="2021-12-14T00:00:00"/>
    <n v="109"/>
    <s v="Wellington"/>
    <s v="New Zealand"/>
    <s v="Nissan"/>
    <s v="Standard"/>
    <m/>
    <m/>
    <m/>
    <n v="1"/>
    <m/>
    <m/>
    <m/>
    <m/>
  </r>
  <r>
    <n v="161"/>
    <s v="Boat Trailer"/>
    <x v="0"/>
    <x v="10"/>
    <s v="YAMAHA VXR"/>
    <x v="0"/>
    <d v="2021-12-14T00:00:00"/>
    <n v="114"/>
    <s v="Canterbury"/>
    <s v="New Zealand"/>
    <s v="Trailer"/>
    <s v="Standard"/>
    <m/>
    <m/>
    <m/>
    <n v="2"/>
    <m/>
    <m/>
    <m/>
    <m/>
  </r>
  <r>
    <n v="162"/>
    <s v="Trailer - Heavy"/>
    <x v="2"/>
    <x v="10"/>
    <s v="TRAILER"/>
    <x v="0"/>
    <d v="2021-12-15T00:00:00"/>
    <n v="109"/>
    <s v="Wellington"/>
    <s v="New Zealand"/>
    <s v="Briford"/>
    <s v="Standard"/>
    <m/>
    <m/>
    <m/>
    <n v="1"/>
    <m/>
    <m/>
    <m/>
    <m/>
  </r>
  <r>
    <n v="163"/>
    <s v="Trailer"/>
    <x v="0"/>
    <x v="10"/>
    <s v="ROADLINE"/>
    <x v="0"/>
    <d v="2021-12-15T00:00:00"/>
    <n v="101"/>
    <s v="Northland"/>
    <s v="New Zealand"/>
    <s v="Trailer"/>
    <s v="Standard"/>
    <m/>
    <m/>
    <m/>
    <n v="2"/>
    <m/>
    <m/>
    <m/>
    <m/>
  </r>
  <r>
    <n v="164"/>
    <s v="Trailer"/>
    <x v="0"/>
    <x v="10"/>
    <s v="TRAYLA"/>
    <x v="0"/>
    <d v="2021-12-15T00:00:00"/>
    <n v="109"/>
    <s v="Wellington"/>
    <s v="New Zealand"/>
    <s v="Trailer"/>
    <s v="Standard"/>
    <m/>
    <m/>
    <m/>
    <n v="2"/>
    <m/>
    <m/>
    <m/>
    <m/>
  </r>
  <r>
    <n v="165"/>
    <s v="Trailer - Heavy"/>
    <x v="2"/>
    <x v="10"/>
    <s v="TRAILER"/>
    <x v="0"/>
    <d v="2021-12-16T00:00:00"/>
    <n v="103"/>
    <s v="Waikato"/>
    <s v="New Zealand"/>
    <s v="Briford"/>
    <s v="Standard"/>
    <m/>
    <m/>
    <m/>
    <n v="1"/>
    <m/>
    <m/>
    <m/>
    <m/>
  </r>
  <r>
    <n v="166"/>
    <s v="Trailer - Heavy"/>
    <x v="2"/>
    <x v="10"/>
    <s v="TRAILER"/>
    <x v="0"/>
    <d v="2021-12-17T00:00:00"/>
    <n v="102"/>
    <s v="Auckland"/>
    <s v="New Zealand"/>
    <s v="Briford"/>
    <s v="Standard"/>
    <m/>
    <m/>
    <m/>
    <n v="1"/>
    <m/>
    <m/>
    <m/>
    <m/>
  </r>
  <r>
    <n v="167"/>
    <s v="Caravan"/>
    <x v="27"/>
    <x v="34"/>
    <s v="HALF VISTA"/>
    <x v="7"/>
    <d v="2021-12-17T00:00:00"/>
    <n v="104"/>
    <s v="Bay of Plenty"/>
    <s v="New Zealand"/>
    <s v="Classic"/>
    <s v="Standard"/>
    <m/>
    <m/>
    <m/>
    <n v="1"/>
    <m/>
    <m/>
    <m/>
    <m/>
  </r>
  <r>
    <n v="168"/>
    <s v="Trailer - Heavy"/>
    <x v="0"/>
    <x v="10"/>
    <s v="CANTERBURY FABRICAT"/>
    <x v="3"/>
    <d v="2021-12-17T00:00:00"/>
    <n v="107"/>
    <s v="Taranaki"/>
    <s v="New Zealand"/>
    <s v="Trailer"/>
    <s v="Standard"/>
    <m/>
    <m/>
    <m/>
    <n v="2"/>
    <m/>
    <m/>
    <m/>
    <m/>
  </r>
  <r>
    <n v="169"/>
    <s v="Trailer"/>
    <x v="0"/>
    <x v="10"/>
    <s v="4.5M FLATDECK"/>
    <x v="0"/>
    <d v="2021-12-17T00:00:00"/>
    <n v="103"/>
    <s v="Waikato"/>
    <s v="New Zealand"/>
    <s v="Trailer"/>
    <s v="Standard"/>
    <m/>
    <m/>
    <m/>
    <n v="2"/>
    <m/>
    <m/>
    <m/>
    <m/>
  </r>
  <r>
    <n v="170"/>
    <s v="Trail Bike"/>
    <x v="23"/>
    <x v="4"/>
    <s v="SFX"/>
    <x v="9"/>
    <d v="2021-12-18T00:00:00"/>
    <n v="114"/>
    <s v="Canterbury"/>
    <s v="New Zealand"/>
    <s v="KTM"/>
    <s v="Standard"/>
    <m/>
    <m/>
    <m/>
    <n v="1"/>
    <m/>
    <m/>
    <m/>
    <m/>
  </r>
  <r>
    <n v="171"/>
    <s v="Trailer"/>
    <x v="0"/>
    <x v="35"/>
    <s v="ELITE 8X4"/>
    <x v="0"/>
    <d v="2021-12-19T00:00:00"/>
    <n v="114"/>
    <s v="Canterbury"/>
    <s v="New Zealand"/>
    <s v="Trailer"/>
    <s v="Standard"/>
    <m/>
    <m/>
    <m/>
    <n v="4"/>
    <m/>
    <m/>
    <m/>
    <m/>
  </r>
  <r>
    <n v="172"/>
    <s v="Trailer"/>
    <x v="0"/>
    <x v="29"/>
    <s v="ROADCHIEF 8X5"/>
    <x v="0"/>
    <d v="2021-12-19T00:00:00"/>
    <n v="115"/>
    <s v="Otago"/>
    <s v="New Zealand"/>
    <s v="Trailer"/>
    <s v="Standard"/>
    <m/>
    <m/>
    <m/>
    <n v="4"/>
    <m/>
    <m/>
    <m/>
    <m/>
  </r>
  <r>
    <n v="173"/>
    <s v="Trailer"/>
    <x v="0"/>
    <x v="12"/>
    <s v="LOCAL"/>
    <x v="0"/>
    <d v="2021-12-19T00:00:00"/>
    <n v="107"/>
    <s v="Taranaki"/>
    <s v="New Zealand"/>
    <s v="Trailer"/>
    <s v="Standard"/>
    <m/>
    <m/>
    <m/>
    <n v="4"/>
    <m/>
    <m/>
    <m/>
    <m/>
  </r>
  <r>
    <n v="174"/>
    <s v="Boat Trailer"/>
    <x v="0"/>
    <x v="36"/>
    <s v="BOAT"/>
    <x v="0"/>
    <d v="2021-12-19T00:00:00"/>
    <n v="102"/>
    <s v="Auckland"/>
    <s v="New Zealand"/>
    <s v="Trailer"/>
    <s v="Standard"/>
    <m/>
    <m/>
    <m/>
    <n v="4"/>
    <m/>
    <m/>
    <m/>
    <m/>
  </r>
  <r>
    <n v="175"/>
    <s v="Trailer - Heavy"/>
    <x v="0"/>
    <x v="29"/>
    <s v="MM INDUSTRIES"/>
    <x v="0"/>
    <d v="2021-12-20T00:00:00"/>
    <n v="102"/>
    <s v="Auckland"/>
    <s v="New Zealand"/>
    <s v="Trailer"/>
    <s v="Standard"/>
    <m/>
    <m/>
    <m/>
    <n v="1"/>
    <m/>
    <m/>
    <m/>
    <m/>
  </r>
  <r>
    <n v="176"/>
    <s v="Trailer"/>
    <x v="28"/>
    <x v="29"/>
    <s v="KC85E"/>
    <x v="0"/>
    <d v="2021-12-21T00:00:00"/>
    <n v="104"/>
    <s v="Bay of Plenty"/>
    <s v="New Zealand"/>
    <s v="Kea"/>
    <s v="Standard"/>
    <m/>
    <m/>
    <m/>
    <n v="2"/>
    <m/>
    <m/>
    <m/>
    <m/>
  </r>
  <r>
    <n v="177"/>
    <s v="Trailer"/>
    <x v="28"/>
    <x v="29"/>
    <s v="KC106AB"/>
    <x v="0"/>
    <d v="2021-12-21T00:00:00"/>
    <n v="103"/>
    <s v="Waikato"/>
    <s v="New Zealand"/>
    <s v="Kea"/>
    <s v="Standard"/>
    <m/>
    <m/>
    <m/>
    <n v="2"/>
    <m/>
    <m/>
    <m/>
    <m/>
  </r>
  <r>
    <n v="178"/>
    <s v="Boat Trailer"/>
    <x v="0"/>
    <x v="29"/>
    <s v="BOAT TRAILER"/>
    <x v="0"/>
    <d v="2021-12-21T00:00:00"/>
    <n v="102"/>
    <s v="Auckland"/>
    <s v="New Zealand"/>
    <s v="Trailer"/>
    <s v="Standard"/>
    <m/>
    <m/>
    <m/>
    <n v="1"/>
    <m/>
    <m/>
    <m/>
    <m/>
  </r>
  <r>
    <n v="179"/>
    <s v="Trailer - Heavy"/>
    <x v="28"/>
    <x v="29"/>
    <s v="CAGE"/>
    <x v="0"/>
    <d v="2021-12-22T00:00:00"/>
    <n v="103"/>
    <s v="Waikato"/>
    <s v="New Zealand"/>
    <s v="Kea"/>
    <s v="Standard"/>
    <m/>
    <m/>
    <m/>
    <n v="1"/>
    <m/>
    <m/>
    <m/>
    <m/>
  </r>
  <r>
    <n v="180"/>
    <s v="Moped"/>
    <x v="4"/>
    <x v="37"/>
    <s v="SPORTIQUE"/>
    <x v="10"/>
    <d v="2021-12-23T00:00:00"/>
    <n v="115"/>
    <s v="Otago"/>
    <s v="New Zealand"/>
    <s v="Vespa"/>
    <s v="Standard"/>
    <m/>
    <m/>
    <m/>
    <n v="1"/>
    <m/>
    <m/>
    <m/>
    <m/>
  </r>
  <r>
    <n v="181"/>
    <s v="Trailer"/>
    <x v="2"/>
    <x v="29"/>
    <s v="5X4"/>
    <x v="0"/>
    <d v="2021-12-23T00:00:00"/>
    <n v="114"/>
    <s v="Canterbury"/>
    <s v="New Zealand"/>
    <s v="Briford"/>
    <s v="Standard"/>
    <m/>
    <m/>
    <m/>
    <n v="1"/>
    <m/>
    <m/>
    <m/>
    <m/>
  </r>
  <r>
    <n v="182"/>
    <s v="Trailer"/>
    <x v="0"/>
    <x v="29"/>
    <s v="CTDIG"/>
    <x v="0"/>
    <d v="2021-12-25T00:00:00"/>
    <n v="104"/>
    <s v="Bay of Plenty"/>
    <s v="New Zealand"/>
    <s v="Trailer"/>
    <s v="Standard"/>
    <m/>
    <m/>
    <m/>
    <n v="1"/>
    <m/>
    <m/>
    <m/>
    <m/>
  </r>
  <r>
    <n v="183"/>
    <s v="Roadbike"/>
    <x v="6"/>
    <x v="2"/>
    <s v="DR-Z400"/>
    <x v="6"/>
    <d v="2021-12-25T00:00:00"/>
    <n v="114"/>
    <s v="Canterbury"/>
    <s v="New Zealand"/>
    <s v="Suzuki"/>
    <s v="Standard"/>
    <m/>
    <m/>
    <m/>
    <n v="1"/>
    <m/>
    <m/>
    <m/>
    <m/>
  </r>
  <r>
    <n v="184"/>
    <s v="Trailer"/>
    <x v="29"/>
    <x v="29"/>
    <s v="DOMESTIC TRAILER"/>
    <x v="4"/>
    <d v="2021-12-25T00:00:00"/>
    <n v="101"/>
    <s v="Northland"/>
    <s v="New Zealand"/>
    <s v="Rhino"/>
    <s v="Standard"/>
    <m/>
    <m/>
    <m/>
    <n v="1"/>
    <m/>
    <m/>
    <m/>
    <m/>
  </r>
  <r>
    <n v="185"/>
    <s v="Trailer"/>
    <x v="8"/>
    <x v="23"/>
    <s v="TRAILER"/>
    <x v="2"/>
    <d v="2021-12-26T00:00:00"/>
    <n v="109"/>
    <s v="Wellington"/>
    <s v="New Zealand"/>
    <s v="Homebuilt"/>
    <s v="Standard"/>
    <m/>
    <m/>
    <m/>
    <n v="1"/>
    <m/>
    <m/>
    <m/>
    <m/>
  </r>
  <r>
    <n v="186"/>
    <s v="Trailer"/>
    <x v="0"/>
    <x v="38"/>
    <s v="HOMEMADE"/>
    <x v="4"/>
    <d v="2021-12-26T00:00:00"/>
    <n v="102"/>
    <s v="Auckland"/>
    <s v="New Zealand"/>
    <s v="Trailer"/>
    <s v="Standard"/>
    <m/>
    <m/>
    <m/>
    <n v="1"/>
    <m/>
    <m/>
    <m/>
    <m/>
  </r>
  <r>
    <n v="187"/>
    <s v="Trailer"/>
    <x v="0"/>
    <x v="29"/>
    <s v="TRAYLA"/>
    <x v="0"/>
    <d v="2021-12-27T00:00:00"/>
    <n v="106"/>
    <s v="Hawke's Bay"/>
    <s v="New Zealand"/>
    <s v="Trailer"/>
    <s v="Standard"/>
    <m/>
    <m/>
    <m/>
    <n v="1"/>
    <m/>
    <m/>
    <m/>
    <m/>
  </r>
  <r>
    <n v="188"/>
    <s v="Boat Trailer"/>
    <x v="30"/>
    <x v="29"/>
    <s v="357J"/>
    <x v="0"/>
    <d v="2021-12-27T00:00:00"/>
    <n v="102"/>
    <s v="Auckland"/>
    <s v="New Zealand"/>
    <s v="Bricon"/>
    <s v="Standard"/>
    <m/>
    <m/>
    <m/>
    <n v="1"/>
    <m/>
    <m/>
    <m/>
    <m/>
  </r>
  <r>
    <n v="189"/>
    <s v="Trailer"/>
    <x v="0"/>
    <x v="29"/>
    <s v="SMASH PALACE"/>
    <x v="0"/>
    <d v="2021-12-28T00:00:00"/>
    <n v="114"/>
    <s v="Canterbury"/>
    <s v="New Zealand"/>
    <s v="Trailer"/>
    <s v="Standard"/>
    <m/>
    <m/>
    <m/>
    <n v="2"/>
    <m/>
    <m/>
    <m/>
    <m/>
  </r>
  <r>
    <n v="190"/>
    <s v="Trailer"/>
    <x v="0"/>
    <x v="24"/>
    <s v="BRIFORD 5X4 SHUTTLE"/>
    <x v="3"/>
    <d v="2021-12-28T00:00:00"/>
    <n v="114"/>
    <s v="Canterbury"/>
    <s v="New Zealand"/>
    <s v="Trailer"/>
    <s v="Standard"/>
    <m/>
    <m/>
    <m/>
    <n v="2"/>
    <m/>
    <m/>
    <m/>
    <m/>
  </r>
  <r>
    <n v="191"/>
    <s v="Trailer"/>
    <x v="0"/>
    <x v="29"/>
    <s v="DIAMOND"/>
    <x v="0"/>
    <d v="2021-12-29T00:00:00"/>
    <n v="106"/>
    <s v="Hawke's Bay"/>
    <s v="New Zealand"/>
    <s v="Trailer"/>
    <s v="Standard"/>
    <m/>
    <m/>
    <m/>
    <n v="1"/>
    <m/>
    <m/>
    <m/>
    <m/>
  </r>
  <r>
    <n v="192"/>
    <s v="Trailer"/>
    <x v="28"/>
    <x v="29"/>
    <s v="K844XA"/>
    <x v="0"/>
    <d v="2021-12-29T00:00:00"/>
    <n v="103"/>
    <s v="Waikato"/>
    <s v="New Zealand"/>
    <s v="Kea"/>
    <s v="Standard"/>
    <m/>
    <m/>
    <m/>
    <n v="1"/>
    <m/>
    <m/>
    <m/>
    <m/>
  </r>
  <r>
    <n v="193"/>
    <s v="Trailer"/>
    <x v="0"/>
    <x v="29"/>
    <s v="TUFF"/>
    <x v="0"/>
    <d v="2021-12-30T00:00:00"/>
    <n v="102"/>
    <s v="Auckland"/>
    <s v="New Zealand"/>
    <s v="Trailer"/>
    <s v="Standard"/>
    <m/>
    <m/>
    <m/>
    <n v="2"/>
    <m/>
    <m/>
    <m/>
    <m/>
  </r>
  <r>
    <n v="194"/>
    <s v="Caravan"/>
    <x v="0"/>
    <x v="19"/>
    <s v="DMW"/>
    <x v="3"/>
    <d v="2021-12-30T00:00:00"/>
    <n v="102"/>
    <s v="Auckland"/>
    <s v="New Zealand"/>
    <s v="Trailer"/>
    <s v="Standard"/>
    <m/>
    <m/>
    <m/>
    <n v="2"/>
    <m/>
    <m/>
    <m/>
    <m/>
  </r>
  <r>
    <n v="195"/>
    <s v="Trailer - Heavy"/>
    <x v="2"/>
    <x v="10"/>
    <s v="TRAILER"/>
    <x v="0"/>
    <d v="2021-12-30T00:00:00"/>
    <n v="102"/>
    <s v="Auckland"/>
    <s v="New Zealand"/>
    <s v="Briford"/>
    <s v="Standard"/>
    <m/>
    <m/>
    <m/>
    <n v="1"/>
    <m/>
    <m/>
    <m/>
    <m/>
  </r>
  <r>
    <n v="196"/>
    <s v="Trailer"/>
    <x v="0"/>
    <x v="39"/>
    <s v="HOMEMADE"/>
    <x v="5"/>
    <d v="2021-12-31T00:00:00"/>
    <n v="114"/>
    <s v="Canterbury"/>
    <s v="New Zealand"/>
    <s v="Trailer"/>
    <s v="Standard"/>
    <m/>
    <m/>
    <m/>
    <n v="7"/>
    <m/>
    <m/>
    <m/>
    <m/>
  </r>
  <r>
    <n v="197"/>
    <s v="Trailer - Heavy"/>
    <x v="0"/>
    <x v="29"/>
    <s v="CABLE DRUM"/>
    <x v="0"/>
    <d v="2021-12-31T00:00:00"/>
    <n v="111"/>
    <s v="Nelson"/>
    <s v="New Zealand"/>
    <s v="Trailer"/>
    <s v="Standard"/>
    <m/>
    <m/>
    <m/>
    <n v="7"/>
    <m/>
    <m/>
    <m/>
    <m/>
  </r>
  <r>
    <n v="198"/>
    <s v="Trailer"/>
    <x v="0"/>
    <x v="15"/>
    <s v="LOCAL"/>
    <x v="0"/>
    <d v="2021-12-31T00:00:00"/>
    <n v="102"/>
    <s v="Auckland"/>
    <s v="New Zealand"/>
    <s v="Trailer"/>
    <s v="Standard"/>
    <m/>
    <m/>
    <m/>
    <n v="7"/>
    <m/>
    <m/>
    <m/>
    <m/>
  </r>
  <r>
    <n v="199"/>
    <s v="Trailer"/>
    <x v="0"/>
    <x v="12"/>
    <s v="KING"/>
    <x v="0"/>
    <d v="2021-12-31T00:00:00"/>
    <n v="106"/>
    <s v="Hawke's Bay"/>
    <s v="New Zealand"/>
    <s v="Trailer"/>
    <s v="Standard"/>
    <m/>
    <m/>
    <m/>
    <n v="7"/>
    <m/>
    <m/>
    <m/>
    <m/>
  </r>
  <r>
    <n v="200"/>
    <s v="Trailer"/>
    <x v="0"/>
    <x v="3"/>
    <s v="HOME BUILT"/>
    <x v="4"/>
    <d v="2021-12-31T00:00:00"/>
    <n v="115"/>
    <s v="Otago"/>
    <s v="New Zealand"/>
    <s v="Trailer"/>
    <s v="Standard"/>
    <m/>
    <m/>
    <m/>
    <n v="7"/>
    <m/>
    <m/>
    <m/>
    <m/>
  </r>
  <r>
    <n v="201"/>
    <s v="Trailer - Heavy"/>
    <x v="0"/>
    <x v="29"/>
    <s v="IFOR WILLIAMS"/>
    <x v="0"/>
    <d v="2021-12-31T00:00:00"/>
    <n v="101"/>
    <s v="Northland"/>
    <s v="New Zealand"/>
    <s v="Trailer"/>
    <s v="Standard"/>
    <m/>
    <m/>
    <m/>
    <n v="7"/>
    <m/>
    <m/>
    <m/>
    <m/>
  </r>
  <r>
    <n v="202"/>
    <s v="Trailer"/>
    <x v="0"/>
    <x v="27"/>
    <s v="LOCAL"/>
    <x v="9"/>
    <d v="2021-12-31T00:00:00"/>
    <n v="104"/>
    <s v="Bay of Plenty"/>
    <s v="New Zealand"/>
    <s v="Trailer"/>
    <s v="Standard"/>
    <m/>
    <m/>
    <m/>
    <n v="7"/>
    <m/>
    <m/>
    <m/>
    <m/>
  </r>
  <r>
    <n v="203"/>
    <s v="Roadbike"/>
    <x v="7"/>
    <x v="5"/>
    <s v="SPEEDTRIPLE"/>
    <x v="7"/>
    <d v="2022-01-01T00:00:00"/>
    <n v="108"/>
    <s v="Manawatū-Whanganui"/>
    <s v="New Zealand"/>
    <s v="Triumph"/>
    <s v="Standard"/>
    <m/>
    <m/>
    <m/>
    <n v="1"/>
    <m/>
    <m/>
    <m/>
    <m/>
  </r>
  <r>
    <n v="204"/>
    <s v="Trailer"/>
    <x v="0"/>
    <x v="29"/>
    <s v="DOLY"/>
    <x v="4"/>
    <d v="2022-01-01T00:00:00"/>
    <n v="106"/>
    <s v="Hawke's Bay"/>
    <s v="New Zealand"/>
    <s v="Trailer"/>
    <s v="Standard"/>
    <m/>
    <m/>
    <m/>
    <n v="2"/>
    <m/>
    <m/>
    <m/>
    <m/>
  </r>
  <r>
    <n v="205"/>
    <s v="Trailer"/>
    <x v="0"/>
    <x v="29"/>
    <s v="SINGLE AXLE"/>
    <x v="4"/>
    <d v="2022-01-01T00:00:00"/>
    <n v="114"/>
    <s v="Canterbury"/>
    <s v="New Zealand"/>
    <s v="Trailer"/>
    <s v="Standard"/>
    <m/>
    <m/>
    <m/>
    <n v="2"/>
    <m/>
    <m/>
    <m/>
    <m/>
  </r>
  <r>
    <n v="206"/>
    <s v="Roadbike"/>
    <x v="6"/>
    <x v="2"/>
    <s v="GN250"/>
    <x v="1"/>
    <d v="2022-01-02T00:00:00"/>
    <n v="102"/>
    <s v="Auckland"/>
    <s v="New Zealand"/>
    <s v="Suzuki"/>
    <s v="Standard"/>
    <m/>
    <m/>
    <m/>
    <n v="1"/>
    <m/>
    <m/>
    <m/>
    <m/>
  </r>
  <r>
    <n v="207"/>
    <s v="Roadbike"/>
    <x v="5"/>
    <x v="25"/>
    <s v="XL250"/>
    <x v="3"/>
    <d v="2022-01-02T00:00:00"/>
    <n v="109"/>
    <s v="Wellington"/>
    <s v="New Zealand"/>
    <s v="Honda"/>
    <s v="Standard"/>
    <m/>
    <m/>
    <m/>
    <n v="1"/>
    <m/>
    <m/>
    <m/>
    <m/>
  </r>
  <r>
    <n v="208"/>
    <s v="Trailer"/>
    <x v="0"/>
    <x v="29"/>
    <s v="ROOFLINE"/>
    <x v="4"/>
    <d v="2022-01-02T00:00:00"/>
    <n v="111"/>
    <s v="Nelson"/>
    <s v="New Zealand"/>
    <s v="Trailer"/>
    <s v="Standard"/>
    <m/>
    <m/>
    <m/>
    <n v="1"/>
    <m/>
    <m/>
    <m/>
    <m/>
  </r>
  <r>
    <n v="209"/>
    <s v="Trailer"/>
    <x v="0"/>
    <x v="29"/>
    <s v="T D ENGINEERING"/>
    <x v="0"/>
    <d v="2022-01-03T00:00:00"/>
    <n v="107"/>
    <s v="Taranaki"/>
    <s v="New Zealand"/>
    <s v="Trailer"/>
    <s v="Standard"/>
    <m/>
    <m/>
    <m/>
    <n v="3"/>
    <m/>
    <m/>
    <m/>
    <m/>
  </r>
  <r>
    <n v="210"/>
    <s v="Trailer"/>
    <x v="0"/>
    <x v="10"/>
    <s v="TRADETESTED 7 X 4"/>
    <x v="0"/>
    <d v="2022-01-03T00:00:00"/>
    <n v="102"/>
    <s v="Auckland"/>
    <s v="New Zealand"/>
    <s v="Trailer"/>
    <s v="Standard"/>
    <m/>
    <m/>
    <m/>
    <n v="3"/>
    <m/>
    <m/>
    <m/>
    <m/>
  </r>
  <r>
    <n v="211"/>
    <s v="Trailer"/>
    <x v="0"/>
    <x v="10"/>
    <s v="VULCAN"/>
    <x v="0"/>
    <d v="2022-01-03T00:00:00"/>
    <n v="102"/>
    <s v="Auckland"/>
    <s v="New Zealand"/>
    <s v="Trailer"/>
    <s v="Standard"/>
    <m/>
    <m/>
    <m/>
    <n v="3"/>
    <m/>
    <m/>
    <m/>
    <m/>
  </r>
  <r>
    <n v="212"/>
    <s v="Trailer"/>
    <x v="0"/>
    <x v="35"/>
    <s v="HOME MADE"/>
    <x v="4"/>
    <d v="2022-01-04T00:00:00"/>
    <n v="109"/>
    <s v="Wellington"/>
    <s v="New Zealand"/>
    <s v="Trailer"/>
    <s v="Standard"/>
    <m/>
    <m/>
    <m/>
    <n v="1"/>
    <m/>
    <m/>
    <m/>
    <m/>
  </r>
  <r>
    <n v="213"/>
    <s v="Caravan"/>
    <x v="31"/>
    <x v="40"/>
    <s v="CARAVAN"/>
    <x v="3"/>
    <d v="2022-01-04T00:00:00"/>
    <n v="102"/>
    <s v="Auckland"/>
    <s v="New Zealand"/>
    <s v="Anglo"/>
    <s v="Standard"/>
    <m/>
    <m/>
    <m/>
    <n v="1"/>
    <m/>
    <m/>
    <m/>
    <m/>
  </r>
  <r>
    <n v="214"/>
    <s v="Trailer - Heavy"/>
    <x v="32"/>
    <x v="10"/>
    <s v="TRAILER"/>
    <x v="0"/>
    <d v="2022-01-04T00:00:00"/>
    <n v="102"/>
    <s v="Auckland"/>
    <s v="New Zealand"/>
    <s v="Reid"/>
    <s v="Standard"/>
    <m/>
    <m/>
    <m/>
    <n v="1"/>
    <m/>
    <m/>
    <m/>
    <m/>
  </r>
  <r>
    <n v="215"/>
    <s v="Trailer"/>
    <x v="33"/>
    <x v="10"/>
    <s v="DOMESTIC TRAILER"/>
    <x v="0"/>
    <d v="2022-01-13T00:00:00"/>
    <n v="115"/>
    <s v="Otago"/>
    <s v="New Zealand"/>
    <s v="Lochiel"/>
    <s v="Standard"/>
    <m/>
    <m/>
    <m/>
    <n v="1"/>
    <m/>
    <m/>
    <m/>
    <m/>
  </r>
  <r>
    <n v="216"/>
    <s v="Trailer"/>
    <x v="2"/>
    <x v="18"/>
    <s v="TRAILER 8X4"/>
    <x v="0"/>
    <d v="2022-01-13T00:00:00"/>
    <n v="102"/>
    <s v="Auckland"/>
    <s v="New Zealand"/>
    <s v="Briford"/>
    <s v="Standard"/>
    <m/>
    <m/>
    <m/>
    <n v="1"/>
    <m/>
    <m/>
    <m/>
    <m/>
  </r>
  <r>
    <n v="217"/>
    <s v="Trailer - Heavy"/>
    <x v="0"/>
    <x v="25"/>
    <s v="SLOAN"/>
    <x v="2"/>
    <d v="2022-01-13T00:00:00"/>
    <n v="103"/>
    <s v="Waikato"/>
    <s v="New Zealand"/>
    <s v="Trailer"/>
    <s v="Standard"/>
    <m/>
    <m/>
    <m/>
    <n v="3"/>
    <m/>
    <m/>
    <m/>
    <m/>
  </r>
  <r>
    <n v="218"/>
    <s v="Trailer"/>
    <x v="17"/>
    <x v="10"/>
    <s v="7X4"/>
    <x v="0"/>
    <d v="2022-01-13T00:00:00"/>
    <n v="102"/>
    <s v="Auckland"/>
    <s v="New Zealand"/>
    <s v="Titan"/>
    <s v="Standard"/>
    <m/>
    <m/>
    <m/>
    <n v="1"/>
    <m/>
    <m/>
    <m/>
    <m/>
  </r>
  <r>
    <n v="219"/>
    <s v="Trailer"/>
    <x v="0"/>
    <x v="8"/>
    <s v="HOMEBUILT"/>
    <x v="4"/>
    <d v="2022-01-13T00:00:00"/>
    <n v="114"/>
    <s v="Canterbury"/>
    <s v="New Zealand"/>
    <s v="Trailer"/>
    <s v="Standard"/>
    <m/>
    <m/>
    <m/>
    <n v="3"/>
    <m/>
    <m/>
    <m/>
    <m/>
  </r>
  <r>
    <n v="220"/>
    <s v="Trailer"/>
    <x v="0"/>
    <x v="35"/>
    <s v="DOMESTIC"/>
    <x v="0"/>
    <d v="2022-01-13T00:00:00"/>
    <n v="101"/>
    <s v="Northland"/>
    <s v="New Zealand"/>
    <s v="Trailer"/>
    <s v="Standard"/>
    <m/>
    <m/>
    <m/>
    <n v="3"/>
    <m/>
    <m/>
    <m/>
    <m/>
  </r>
  <r>
    <n v="221"/>
    <s v="Boat Trailer"/>
    <x v="0"/>
    <x v="9"/>
    <s v="JETSKI"/>
    <x v="1"/>
    <d v="2022-01-14T00:00:00"/>
    <n v="103"/>
    <s v="Waikato"/>
    <s v="New Zealand"/>
    <s v="Trailer"/>
    <s v="Standard"/>
    <m/>
    <m/>
    <m/>
    <n v="4"/>
    <m/>
    <m/>
    <m/>
    <m/>
  </r>
  <r>
    <n v="222"/>
    <s v="Trailer"/>
    <x v="0"/>
    <x v="35"/>
    <s v="TANDEM"/>
    <x v="0"/>
    <d v="2022-01-14T00:00:00"/>
    <n v="106"/>
    <s v="Hawke's Bay"/>
    <s v="New Zealand"/>
    <s v="Trailer"/>
    <s v="Standard"/>
    <m/>
    <m/>
    <m/>
    <n v="4"/>
    <m/>
    <m/>
    <m/>
    <m/>
  </r>
  <r>
    <n v="223"/>
    <s v="Trailer - Heavy"/>
    <x v="0"/>
    <x v="35"/>
    <s v="FURN"/>
    <x v="3"/>
    <d v="2022-01-14T00:00:00"/>
    <n v="104"/>
    <s v="Bay of Plenty"/>
    <s v="New Zealand"/>
    <s v="Trailer"/>
    <s v="Standard"/>
    <m/>
    <m/>
    <m/>
    <n v="4"/>
    <m/>
    <m/>
    <m/>
    <m/>
  </r>
  <r>
    <n v="224"/>
    <s v="Trailer"/>
    <x v="33"/>
    <x v="35"/>
    <s v="3X2 PLATFORM"/>
    <x v="0"/>
    <d v="2022-01-14T00:00:00"/>
    <n v="115"/>
    <s v="Otago"/>
    <s v="New Zealand"/>
    <s v="Lochiel"/>
    <s v="Standard"/>
    <m/>
    <m/>
    <m/>
    <n v="1"/>
    <m/>
    <m/>
    <m/>
    <m/>
  </r>
  <r>
    <n v="225"/>
    <s v="Trailer"/>
    <x v="0"/>
    <x v="29"/>
    <s v="HOMEBUILT"/>
    <x v="0"/>
    <d v="2022-01-14T00:00:00"/>
    <n v="108"/>
    <s v="Manawatū-Whanganui"/>
    <s v="New Zealand"/>
    <s v="Trailer"/>
    <s v="Standard"/>
    <m/>
    <m/>
    <m/>
    <n v="4"/>
    <m/>
    <m/>
    <m/>
    <m/>
  </r>
  <r>
    <n v="226"/>
    <s v="Trailer"/>
    <x v="0"/>
    <x v="29"/>
    <s v="GORILLA"/>
    <x v="0"/>
    <d v="2022-01-16T00:00:00"/>
    <n v="114"/>
    <s v="Canterbury"/>
    <s v="New Zealand"/>
    <s v="Trailer"/>
    <s v="Standard"/>
    <m/>
    <m/>
    <m/>
    <n v="1"/>
    <m/>
    <m/>
    <m/>
    <m/>
  </r>
  <r>
    <n v="227"/>
    <s v="Roadbike"/>
    <x v="6"/>
    <x v="6"/>
    <s v="UZ"/>
    <x v="4"/>
    <d v="2022-01-16T00:00:00"/>
    <n v="102"/>
    <s v="Auckland"/>
    <s v="New Zealand"/>
    <s v="Suzuki"/>
    <s v="Standard"/>
    <m/>
    <m/>
    <m/>
    <n v="1"/>
    <m/>
    <m/>
    <m/>
    <m/>
  </r>
  <r>
    <n v="228"/>
    <s v="Trailer"/>
    <x v="8"/>
    <x v="23"/>
    <s v="TRAILER"/>
    <x v="4"/>
    <d v="2022-01-16T00:00:00"/>
    <n v="114"/>
    <s v="Canterbury"/>
    <s v="New Zealand"/>
    <s v="Homebuilt"/>
    <s v="Standard"/>
    <m/>
    <m/>
    <m/>
    <n v="1"/>
    <m/>
    <m/>
    <m/>
    <m/>
  </r>
  <r>
    <n v="229"/>
    <s v="Caravan"/>
    <x v="27"/>
    <x v="39"/>
    <s v="DIPLOMAT"/>
    <x v="2"/>
    <d v="2022-01-17T00:00:00"/>
    <n v="108"/>
    <s v="Manawatū-Whanganui"/>
    <s v="New Zealand"/>
    <s v="Classic"/>
    <s v="Standard"/>
    <m/>
    <m/>
    <m/>
    <n v="1"/>
    <m/>
    <m/>
    <m/>
    <m/>
  </r>
  <r>
    <n v="230"/>
    <s v="Trailer - Heavy"/>
    <x v="0"/>
    <x v="40"/>
    <s v="LOCAL"/>
    <x v="0"/>
    <d v="2022-01-17T00:00:00"/>
    <n v="108"/>
    <s v="Manawatū-Whanganui"/>
    <s v="New Zealand"/>
    <s v="Trailer"/>
    <s v="Standard"/>
    <m/>
    <m/>
    <m/>
    <n v="1"/>
    <m/>
    <m/>
    <m/>
    <m/>
  </r>
  <r>
    <n v="231"/>
    <s v="Trailer"/>
    <x v="8"/>
    <x v="41"/>
    <s v="TRAILER"/>
    <x v="7"/>
    <d v="2022-01-17T00:00:00"/>
    <n v="115"/>
    <s v="Otago"/>
    <s v="New Zealand"/>
    <s v="Homebuilt"/>
    <s v="Standard"/>
    <m/>
    <m/>
    <m/>
    <n v="1"/>
    <m/>
    <m/>
    <m/>
    <m/>
  </r>
  <r>
    <n v="232"/>
    <s v="Trailer"/>
    <x v="17"/>
    <x v="29"/>
    <s v="DOMESTIC TRAILER"/>
    <x v="0"/>
    <d v="2022-01-17T00:00:00"/>
    <n v="102"/>
    <s v="Auckland"/>
    <s v="New Zealand"/>
    <s v="Titan"/>
    <s v="Standard"/>
    <m/>
    <m/>
    <m/>
    <n v="1"/>
    <m/>
    <m/>
    <m/>
    <m/>
  </r>
  <r>
    <n v="233"/>
    <s v="Trailer"/>
    <x v="0"/>
    <x v="29"/>
    <s v="HOMEMADE"/>
    <x v="0"/>
    <d v="2022-01-18T00:00:00"/>
    <n v="108"/>
    <s v="Manawatū-Whanganui"/>
    <s v="New Zealand"/>
    <s v="Trailer"/>
    <s v="Standard"/>
    <m/>
    <m/>
    <m/>
    <n v="2"/>
    <m/>
    <m/>
    <m/>
    <m/>
  </r>
  <r>
    <n v="234"/>
    <s v="Moped"/>
    <x v="34"/>
    <x v="12"/>
    <s v="MOTORCYCLE"/>
    <x v="2"/>
    <d v="2022-01-18T00:00:00"/>
    <n v="102"/>
    <s v="Auckland"/>
    <s v="New Zealand"/>
    <s v="Piaggio"/>
    <s v="Standard"/>
    <m/>
    <m/>
    <m/>
    <n v="1"/>
    <m/>
    <m/>
    <m/>
    <m/>
  </r>
  <r>
    <n v="235"/>
    <s v="Roadbike"/>
    <x v="6"/>
    <x v="13"/>
    <s v="GSX250"/>
    <x v="0"/>
    <d v="2022-01-18T00:00:00"/>
    <n v="104"/>
    <s v="Bay of Plenty"/>
    <s v="New Zealand"/>
    <s v="Suzuki"/>
    <s v="Standard"/>
    <m/>
    <m/>
    <m/>
    <n v="2"/>
    <m/>
    <m/>
    <m/>
    <m/>
  </r>
  <r>
    <n v="236"/>
    <s v="Roadbike"/>
    <x v="6"/>
    <x v="42"/>
    <s v="VL800"/>
    <x v="1"/>
    <d v="2022-01-18T00:00:00"/>
    <n v="102"/>
    <s v="Auckland"/>
    <s v="New Zealand"/>
    <s v="Suzuki"/>
    <s v="Standard"/>
    <m/>
    <m/>
    <m/>
    <n v="2"/>
    <m/>
    <m/>
    <m/>
    <m/>
  </r>
  <r>
    <n v="237"/>
    <s v="Trailer"/>
    <x v="0"/>
    <x v="8"/>
    <s v="DOMESTIC TRAILER"/>
    <x v="4"/>
    <d v="2022-01-18T00:00:00"/>
    <n v="102"/>
    <s v="Auckland"/>
    <s v="New Zealand"/>
    <s v="Trailer"/>
    <s v="Standard"/>
    <m/>
    <m/>
    <m/>
    <n v="2"/>
    <m/>
    <m/>
    <m/>
    <m/>
  </r>
  <r>
    <n v="238"/>
    <s v="Trailer"/>
    <x v="2"/>
    <x v="29"/>
    <s v="8X5 TANDEM"/>
    <x v="0"/>
    <d v="2022-01-19T00:00:00"/>
    <n v="114"/>
    <s v="Canterbury"/>
    <s v="New Zealand"/>
    <s v="Briford"/>
    <s v="Standard"/>
    <m/>
    <m/>
    <m/>
    <n v="1"/>
    <m/>
    <m/>
    <m/>
    <m/>
  </r>
  <r>
    <n v="239"/>
    <s v="Trailer"/>
    <x v="0"/>
    <x v="35"/>
    <s v="KEA"/>
    <x v="0"/>
    <d v="2022-01-19T00:00:00"/>
    <n v="102"/>
    <s v="Auckland"/>
    <s v="New Zealand"/>
    <s v="Trailer"/>
    <s v="Standard"/>
    <m/>
    <m/>
    <m/>
    <n v="2"/>
    <m/>
    <m/>
    <m/>
    <m/>
  </r>
  <r>
    <n v="240"/>
    <s v="Trailer"/>
    <x v="0"/>
    <x v="29"/>
    <s v="TANDEM"/>
    <x v="0"/>
    <d v="2022-01-19T00:00:00"/>
    <n v="114"/>
    <s v="Canterbury"/>
    <s v="New Zealand"/>
    <s v="Trailer"/>
    <s v="Standard"/>
    <m/>
    <m/>
    <m/>
    <n v="2"/>
    <m/>
    <m/>
    <m/>
    <m/>
  </r>
  <r>
    <n v="241"/>
    <s v="Roadbike"/>
    <x v="6"/>
    <x v="6"/>
    <s v="VL800"/>
    <x v="1"/>
    <d v="2022-01-20T00:00:00"/>
    <n v="102"/>
    <s v="Auckland"/>
    <s v="New Zealand"/>
    <s v="Suzuki"/>
    <s v="Standard"/>
    <m/>
    <m/>
    <m/>
    <n v="1"/>
    <m/>
    <m/>
    <m/>
    <m/>
  </r>
  <r>
    <n v="242"/>
    <s v="Trailer"/>
    <x v="8"/>
    <x v="27"/>
    <s v="OLEARY 1 AXLE"/>
    <x v="0"/>
    <d v="2022-01-20T00:00:00"/>
    <n v="107"/>
    <s v="Taranaki"/>
    <s v="New Zealand"/>
    <s v="Homebuilt"/>
    <s v="Standard"/>
    <m/>
    <m/>
    <m/>
    <n v="1"/>
    <m/>
    <m/>
    <m/>
    <m/>
  </r>
  <r>
    <n v="243"/>
    <s v="Trailer"/>
    <x v="0"/>
    <x v="3"/>
    <s v="DOMESTIC TRAILER"/>
    <x v="0"/>
    <d v="2022-01-20T00:00:00"/>
    <n v="108"/>
    <s v="Manawatū-Whanganui"/>
    <s v="New Zealand"/>
    <s v="Trailer"/>
    <s v="Standard"/>
    <m/>
    <m/>
    <m/>
    <n v="4"/>
    <m/>
    <m/>
    <m/>
    <m/>
  </r>
  <r>
    <n v="244"/>
    <s v="Boat Trailer"/>
    <x v="0"/>
    <x v="29"/>
    <s v="HOMEBUILT"/>
    <x v="0"/>
    <d v="2022-01-20T00:00:00"/>
    <n v="102"/>
    <s v="Auckland"/>
    <s v="New Zealand"/>
    <s v="Trailer"/>
    <s v="Standard"/>
    <m/>
    <m/>
    <m/>
    <n v="4"/>
    <m/>
    <m/>
    <m/>
    <m/>
  </r>
  <r>
    <n v="245"/>
    <s v="Boat Trailer"/>
    <x v="0"/>
    <x v="29"/>
    <s v="BOAT"/>
    <x v="0"/>
    <d v="2022-01-20T00:00:00"/>
    <n v="101"/>
    <s v="Northland"/>
    <s v="New Zealand"/>
    <s v="Trailer"/>
    <s v="Standard"/>
    <m/>
    <m/>
    <m/>
    <n v="4"/>
    <m/>
    <m/>
    <m/>
    <m/>
  </r>
  <r>
    <n v="246"/>
    <s v="Trailer"/>
    <x v="0"/>
    <x v="29"/>
    <s v="HOMEBUILT"/>
    <x v="1"/>
    <d v="2022-01-20T00:00:00"/>
    <n v="106"/>
    <s v="Hawke's Bay"/>
    <s v="New Zealand"/>
    <s v="Trailer"/>
    <s v="Standard"/>
    <m/>
    <m/>
    <m/>
    <n v="4"/>
    <m/>
    <m/>
    <m/>
    <m/>
  </r>
  <r>
    <n v="247"/>
    <s v="Trailer"/>
    <x v="35"/>
    <x v="29"/>
    <s v="8X5 TANDEM TRAILER"/>
    <x v="0"/>
    <d v="2022-01-21T00:00:00"/>
    <n v="114"/>
    <s v="Canterbury"/>
    <s v="New Zealand"/>
    <s v="Buffalo"/>
    <s v="Standard"/>
    <m/>
    <m/>
    <m/>
    <n v="1"/>
    <m/>
    <m/>
    <m/>
    <m/>
  </r>
  <r>
    <n v="248"/>
    <s v="Boat Trailer"/>
    <x v="0"/>
    <x v="29"/>
    <s v="BOAT"/>
    <x v="0"/>
    <d v="2022-01-22T00:00:00"/>
    <n v="102"/>
    <s v="Auckland"/>
    <s v="New Zealand"/>
    <s v="Trailer"/>
    <s v="Standard"/>
    <m/>
    <m/>
    <m/>
    <n v="1"/>
    <m/>
    <m/>
    <m/>
    <m/>
  </r>
  <r>
    <n v="249"/>
    <s v="Trailer"/>
    <x v="0"/>
    <x v="29"/>
    <s v="M J SINGLE AXLE"/>
    <x v="0"/>
    <d v="2022-01-23T00:00:00"/>
    <n v="114"/>
    <s v="Canterbury"/>
    <s v="New Zealand"/>
    <s v="Trailer"/>
    <s v="Standard"/>
    <m/>
    <m/>
    <m/>
    <n v="1"/>
    <m/>
    <m/>
    <m/>
    <m/>
  </r>
  <r>
    <n v="250"/>
    <s v="Trailer"/>
    <x v="8"/>
    <x v="29"/>
    <s v="DOMESTIC TRAILER"/>
    <x v="1"/>
    <d v="2022-01-23T00:00:00"/>
    <n v="102"/>
    <s v="Auckland"/>
    <s v="New Zealand"/>
    <s v="Homebuilt"/>
    <s v="Standard"/>
    <m/>
    <m/>
    <m/>
    <n v="1"/>
    <m/>
    <m/>
    <m/>
    <m/>
  </r>
  <r>
    <n v="251"/>
    <s v="Trailer"/>
    <x v="0"/>
    <x v="43"/>
    <s v="HOMEBUILT"/>
    <x v="3"/>
    <d v="2022-01-24T00:00:00"/>
    <n v="115"/>
    <s v="Otago"/>
    <s v="New Zealand"/>
    <s v="Trailer"/>
    <s v="Standard"/>
    <m/>
    <m/>
    <m/>
    <n v="3"/>
    <m/>
    <m/>
    <m/>
    <m/>
  </r>
  <r>
    <n v="252"/>
    <s v="Trailer"/>
    <x v="3"/>
    <x v="29"/>
    <s v="DOMESTIC TRAILER"/>
    <x v="0"/>
    <d v="2022-01-24T00:00:00"/>
    <n v="109"/>
    <s v="Wellington"/>
    <s v="New Zealand"/>
    <s v="Factory Built"/>
    <s v="Standard"/>
    <m/>
    <m/>
    <m/>
    <n v="1"/>
    <m/>
    <m/>
    <m/>
    <m/>
  </r>
  <r>
    <n v="253"/>
    <s v="Trailer - Heavy"/>
    <x v="0"/>
    <x v="29"/>
    <s v="ROADCHIEF"/>
    <x v="0"/>
    <d v="2022-01-24T00:00:00"/>
    <n v="104"/>
    <s v="Bay of Plenty"/>
    <s v="New Zealand"/>
    <s v="Trailer"/>
    <s v="Standard"/>
    <m/>
    <m/>
    <m/>
    <n v="3"/>
    <m/>
    <m/>
    <m/>
    <m/>
  </r>
  <r>
    <n v="254"/>
    <s v="Trailer"/>
    <x v="0"/>
    <x v="16"/>
    <s v="K64SE"/>
    <x v="0"/>
    <d v="2022-01-24T00:00:00"/>
    <n v="111"/>
    <s v="Nelson"/>
    <s v="New Zealand"/>
    <s v="Trailer"/>
    <s v="Standard"/>
    <m/>
    <m/>
    <m/>
    <n v="3"/>
    <m/>
    <m/>
    <m/>
    <m/>
  </r>
  <r>
    <n v="255"/>
    <s v="Trailer"/>
    <x v="0"/>
    <x v="16"/>
    <s v="OLEARY"/>
    <x v="0"/>
    <d v="2022-01-25T00:00:00"/>
    <n v="108"/>
    <s v="Manawatū-Whanganui"/>
    <s v="New Zealand"/>
    <s v="Trailer"/>
    <s v="Standard"/>
    <m/>
    <m/>
    <m/>
    <n v="2"/>
    <m/>
    <m/>
    <m/>
    <m/>
  </r>
  <r>
    <n v="256"/>
    <s v="Boat Trailer"/>
    <x v="0"/>
    <x v="3"/>
    <s v="LOCAL"/>
    <x v="0"/>
    <d v="2022-01-25T00:00:00"/>
    <n v="101"/>
    <s v="Northland"/>
    <s v="New Zealand"/>
    <s v="Trailer"/>
    <s v="Standard"/>
    <m/>
    <m/>
    <m/>
    <n v="2"/>
    <m/>
    <m/>
    <m/>
    <m/>
  </r>
  <r>
    <n v="257"/>
    <s v="Trailer"/>
    <x v="0"/>
    <x v="11"/>
    <s v="CONCEPT"/>
    <x v="0"/>
    <d v="2022-01-26T00:00:00"/>
    <n v="108"/>
    <s v="Manawatū-Whanganui"/>
    <s v="New Zealand"/>
    <s v="Trailer"/>
    <s v="Standard"/>
    <m/>
    <m/>
    <m/>
    <n v="1"/>
    <m/>
    <m/>
    <m/>
    <m/>
  </r>
  <r>
    <n v="258"/>
    <s v="Trailer"/>
    <x v="17"/>
    <x v="29"/>
    <s v="DOMESTIC TRAILER"/>
    <x v="0"/>
    <d v="2022-01-27T00:00:00"/>
    <n v="109"/>
    <s v="Wellington"/>
    <s v="New Zealand"/>
    <s v="Titan"/>
    <s v="Standard"/>
    <m/>
    <m/>
    <m/>
    <n v="1"/>
    <m/>
    <m/>
    <m/>
    <m/>
  </r>
  <r>
    <n v="259"/>
    <s v="Boat Trailer"/>
    <x v="8"/>
    <x v="29"/>
    <s v="BOAT TRAILER"/>
    <x v="0"/>
    <d v="2022-01-27T00:00:00"/>
    <n v="102"/>
    <s v="Auckland"/>
    <s v="New Zealand"/>
    <s v="Homebuilt"/>
    <s v="Standard"/>
    <m/>
    <m/>
    <m/>
    <n v="1"/>
    <m/>
    <m/>
    <m/>
    <m/>
  </r>
  <r>
    <n v="260"/>
    <s v="Roadbike"/>
    <x v="1"/>
    <x v="2"/>
    <s v="YZF-R6T"/>
    <x v="4"/>
    <d v="2022-01-28T00:00:00"/>
    <n v="102"/>
    <s v="Auckland"/>
    <s v="New Zealand"/>
    <s v="Yamaha"/>
    <s v="Standard"/>
    <m/>
    <m/>
    <m/>
    <n v="1"/>
    <m/>
    <m/>
    <m/>
    <m/>
  </r>
  <r>
    <n v="261"/>
    <s v="Trailer"/>
    <x v="3"/>
    <x v="29"/>
    <s v="TRAILUX TRAILER"/>
    <x v="0"/>
    <d v="2022-01-28T00:00:00"/>
    <n v="109"/>
    <s v="Wellington"/>
    <s v="New Zealand"/>
    <s v="Factory Built"/>
    <s v="Standard"/>
    <m/>
    <m/>
    <m/>
    <n v="1"/>
    <m/>
    <m/>
    <m/>
    <m/>
  </r>
  <r>
    <n v="262"/>
    <s v="Trailer"/>
    <x v="0"/>
    <x v="35"/>
    <s v="ELITE 8X4"/>
    <x v="0"/>
    <d v="2022-01-28T00:00:00"/>
    <n v="114"/>
    <s v="Canterbury"/>
    <s v="New Zealand"/>
    <s v="Trailer"/>
    <s v="Standard"/>
    <m/>
    <m/>
    <m/>
    <n v="3"/>
    <m/>
    <m/>
    <m/>
    <m/>
  </r>
  <r>
    <n v="263"/>
    <s v="Trailer"/>
    <x v="0"/>
    <x v="35"/>
    <s v="UTILITY"/>
    <x v="0"/>
    <d v="2022-01-28T00:00:00"/>
    <n v="102"/>
    <s v="Auckland"/>
    <s v="New Zealand"/>
    <s v="Trailer"/>
    <s v="Standard"/>
    <m/>
    <m/>
    <m/>
    <n v="3"/>
    <m/>
    <m/>
    <m/>
    <m/>
  </r>
  <r>
    <n v="264"/>
    <s v="Trailer - Heavy"/>
    <x v="0"/>
    <x v="35"/>
    <s v="GT TRAILER"/>
    <x v="0"/>
    <d v="2022-01-28T00:00:00"/>
    <n v="114"/>
    <s v="Canterbury"/>
    <s v="New Zealand"/>
    <s v="Trailer"/>
    <s v="Standard"/>
    <m/>
    <m/>
    <m/>
    <n v="3"/>
    <m/>
    <m/>
    <m/>
    <m/>
  </r>
  <r>
    <n v="265"/>
    <s v="Caravan"/>
    <x v="36"/>
    <x v="35"/>
    <n v="710"/>
    <x v="3"/>
    <d v="2022-01-28T00:00:00"/>
    <n v="103"/>
    <s v="Waikato"/>
    <s v="New Zealand"/>
    <s v="Veteran"/>
    <s v="Standard"/>
    <m/>
    <m/>
    <m/>
    <n v="1"/>
    <m/>
    <m/>
    <m/>
    <m/>
  </r>
  <r>
    <n v="266"/>
    <s v="Trailer"/>
    <x v="17"/>
    <x v="35"/>
    <s v="8X5 SINGLE"/>
    <x v="0"/>
    <d v="2022-01-28T00:00:00"/>
    <n v="102"/>
    <s v="Auckland"/>
    <s v="New Zealand"/>
    <s v="Titan"/>
    <s v="Standard"/>
    <m/>
    <m/>
    <m/>
    <n v="1"/>
    <m/>
    <m/>
    <m/>
    <m/>
  </r>
  <r>
    <n v="267"/>
    <s v="Trailer"/>
    <x v="8"/>
    <x v="35"/>
    <s v="HOME BUILD"/>
    <x v="0"/>
    <d v="2022-01-29T00:00:00"/>
    <n v="114"/>
    <s v="Canterbury"/>
    <s v="New Zealand"/>
    <s v="Homebuilt"/>
    <s v="Standard"/>
    <m/>
    <m/>
    <m/>
    <n v="2"/>
    <m/>
    <m/>
    <m/>
    <m/>
  </r>
  <r>
    <n v="268"/>
    <s v="Trailer"/>
    <x v="8"/>
    <x v="5"/>
    <s v="TRAILER"/>
    <x v="2"/>
    <d v="2022-01-29T00:00:00"/>
    <n v="114"/>
    <s v="Canterbury"/>
    <s v="New Zealand"/>
    <s v="Homebuilt"/>
    <s v="Standard"/>
    <m/>
    <m/>
    <m/>
    <n v="2"/>
    <m/>
    <m/>
    <m/>
    <m/>
  </r>
  <r>
    <n v="269"/>
    <s v="Trailer"/>
    <x v="0"/>
    <x v="35"/>
    <s v="COMPASS C85"/>
    <x v="0"/>
    <d v="2022-01-29T00:00:00"/>
    <n v="103"/>
    <s v="Waikato"/>
    <s v="New Zealand"/>
    <s v="Trailer"/>
    <s v="Standard"/>
    <m/>
    <m/>
    <m/>
    <n v="1"/>
    <m/>
    <m/>
    <m/>
    <m/>
  </r>
  <r>
    <n v="270"/>
    <s v="Trailer - Heavy"/>
    <x v="2"/>
    <x v="35"/>
    <s v="TRAILER"/>
    <x v="0"/>
    <d v="2022-01-29T00:00:00"/>
    <n v="102"/>
    <s v="Auckland"/>
    <s v="New Zealand"/>
    <s v="Briford"/>
    <s v="Standard"/>
    <m/>
    <m/>
    <m/>
    <n v="2"/>
    <m/>
    <m/>
    <m/>
    <m/>
  </r>
  <r>
    <n v="271"/>
    <s v="Trailer"/>
    <x v="2"/>
    <x v="35"/>
    <s v="TRAILER"/>
    <x v="0"/>
    <d v="2022-01-29T00:00:00"/>
    <n v="114"/>
    <s v="Canterbury"/>
    <s v="New Zealand"/>
    <s v="Briford"/>
    <s v="Standard"/>
    <m/>
    <m/>
    <m/>
    <n v="2"/>
    <m/>
    <m/>
    <m/>
    <m/>
  </r>
  <r>
    <n v="272"/>
    <s v="Trailer - Heavy"/>
    <x v="0"/>
    <x v="35"/>
    <s v="GT TRAILER"/>
    <x v="0"/>
    <d v="2022-01-30T00:00:00"/>
    <n v="102"/>
    <s v="Auckland"/>
    <s v="New Zealand"/>
    <s v="Trailer"/>
    <s v="Standard"/>
    <m/>
    <m/>
    <m/>
    <n v="1"/>
    <m/>
    <m/>
    <m/>
    <m/>
  </r>
  <r>
    <n v="273"/>
    <s v="Trailer"/>
    <x v="8"/>
    <x v="44"/>
    <s v="TRAILER"/>
    <x v="3"/>
    <d v="2022-01-31T00:00:00"/>
    <n v="114"/>
    <s v="Canterbury"/>
    <s v="New Zealand"/>
    <s v="Homebuilt"/>
    <s v="Standard"/>
    <m/>
    <m/>
    <m/>
    <n v="1"/>
    <m/>
    <m/>
    <m/>
    <m/>
  </r>
  <r>
    <n v="274"/>
    <s v="Trailer - Heavy"/>
    <x v="0"/>
    <x v="45"/>
    <s v="MAINLINE TANKER"/>
    <x v="4"/>
    <d v="2022-01-31T00:00:00"/>
    <n v="102"/>
    <s v="Auckland"/>
    <s v="New Zealand"/>
    <s v="Trailer"/>
    <s v="Standard"/>
    <m/>
    <m/>
    <m/>
    <n v="1"/>
    <m/>
    <m/>
    <m/>
    <m/>
  </r>
  <r>
    <n v="275"/>
    <s v="Trailer - Heavy"/>
    <x v="9"/>
    <x v="35"/>
    <s v="TBS"/>
    <x v="4"/>
    <d v="2022-01-31T00:00:00"/>
    <n v="102"/>
    <s v="Auckland"/>
    <s v="New Zealand"/>
    <s v="Custombuilt"/>
    <s v="Standard"/>
    <m/>
    <m/>
    <m/>
    <n v="1"/>
    <m/>
    <m/>
    <m/>
    <m/>
  </r>
  <r>
    <n v="276"/>
    <s v="Trailer"/>
    <x v="0"/>
    <x v="35"/>
    <s v="GOUGH ENGINEERING"/>
    <x v="0"/>
    <d v="2022-02-01T00:00:00"/>
    <n v="103"/>
    <s v="Waikato"/>
    <s v="New Zealand"/>
    <s v="Trailer"/>
    <s v="Standard"/>
    <m/>
    <m/>
    <m/>
    <n v="1"/>
    <m/>
    <m/>
    <m/>
    <m/>
  </r>
  <r>
    <n v="277"/>
    <s v="Trailer - Heavy"/>
    <x v="2"/>
    <x v="35"/>
    <s v="TRAILER"/>
    <x v="0"/>
    <d v="2022-02-01T00:00:00"/>
    <n v="102"/>
    <s v="Auckland"/>
    <s v="New Zealand"/>
    <s v="Briford"/>
    <s v="Standard"/>
    <m/>
    <m/>
    <m/>
    <n v="1"/>
    <m/>
    <m/>
    <m/>
    <m/>
  </r>
  <r>
    <n v="278"/>
    <s v="Trailer"/>
    <x v="0"/>
    <x v="35"/>
    <s v="COMPASS KH85T"/>
    <x v="0"/>
    <d v="2022-02-02T00:00:00"/>
    <n v="102"/>
    <s v="Auckland"/>
    <s v="New Zealand"/>
    <s v="Trailer"/>
    <s v="Standard"/>
    <m/>
    <m/>
    <m/>
    <n v="1"/>
    <m/>
    <m/>
    <m/>
    <m/>
  </r>
  <r>
    <n v="279"/>
    <s v="Trailer"/>
    <x v="2"/>
    <x v="35"/>
    <s v="6X4"/>
    <x v="4"/>
    <d v="2022-02-02T00:00:00"/>
    <n v="102"/>
    <s v="Auckland"/>
    <s v="New Zealand"/>
    <s v="Briford"/>
    <s v="Standard"/>
    <m/>
    <m/>
    <m/>
    <n v="1"/>
    <m/>
    <m/>
    <m/>
    <m/>
  </r>
  <r>
    <n v="280"/>
    <s v="Trailer"/>
    <x v="0"/>
    <x v="35"/>
    <s v="ELITE 8X4"/>
    <x v="0"/>
    <d v="2022-02-03T00:00:00"/>
    <n v="114"/>
    <s v="Canterbury"/>
    <s v="New Zealand"/>
    <s v="Trailer"/>
    <s v="Standard"/>
    <m/>
    <m/>
    <m/>
    <n v="2"/>
    <m/>
    <m/>
    <m/>
    <m/>
  </r>
  <r>
    <n v="281"/>
    <s v="Saloon"/>
    <x v="37"/>
    <x v="46"/>
    <s v="LANTIS"/>
    <x v="2"/>
    <d v="2022-02-03T00:00:00"/>
    <n v="103"/>
    <s v="Waikato"/>
    <s v="New Zealand"/>
    <s v="Mazda"/>
    <s v="Standard"/>
    <m/>
    <m/>
    <m/>
    <n v="1"/>
    <m/>
    <m/>
    <m/>
    <m/>
  </r>
  <r>
    <n v="282"/>
    <s v="Trailer"/>
    <x v="0"/>
    <x v="35"/>
    <s v="TUFF"/>
    <x v="0"/>
    <d v="2022-02-03T00:00:00"/>
    <n v="102"/>
    <s v="Auckland"/>
    <s v="New Zealand"/>
    <s v="Trailer"/>
    <s v="Standard"/>
    <m/>
    <m/>
    <m/>
    <n v="2"/>
    <m/>
    <m/>
    <m/>
    <m/>
  </r>
  <r>
    <n v="283"/>
    <s v="Trailer - Heavy"/>
    <x v="2"/>
    <x v="35"/>
    <s v="TRAILER"/>
    <x v="0"/>
    <d v="2022-02-03T00:00:00"/>
    <n v="102"/>
    <s v="Auckland"/>
    <s v="New Zealand"/>
    <s v="Briford"/>
    <s v="Standard"/>
    <m/>
    <m/>
    <m/>
    <n v="2"/>
    <m/>
    <m/>
    <m/>
    <m/>
  </r>
  <r>
    <n v="284"/>
    <s v="Trailer - Heavy"/>
    <x v="2"/>
    <x v="35"/>
    <s v="OTHER COMMERCIAL TRA"/>
    <x v="0"/>
    <d v="2022-02-03T00:00:00"/>
    <n v="104"/>
    <s v="Bay of Plenty"/>
    <s v="New Zealand"/>
    <s v="Briford"/>
    <s v="Standard"/>
    <m/>
    <m/>
    <m/>
    <n v="2"/>
    <m/>
    <m/>
    <m/>
    <m/>
  </r>
  <r>
    <n v="285"/>
    <s v="Trailer - Heavy"/>
    <x v="2"/>
    <x v="35"/>
    <s v="OTHER COMMERCIAL TRA"/>
    <x v="0"/>
    <d v="2022-02-04T00:00:00"/>
    <n v="103"/>
    <s v="Waikato"/>
    <s v="New Zealand"/>
    <s v="Briford"/>
    <s v="Standard"/>
    <m/>
    <m/>
    <m/>
    <n v="1"/>
    <m/>
    <m/>
    <m/>
    <m/>
  </r>
  <r>
    <n v="286"/>
    <s v="Boat Trailer"/>
    <x v="0"/>
    <x v="35"/>
    <s v="AAA375 AAKRON"/>
    <x v="0"/>
    <d v="2022-02-04T00:00:00"/>
    <n v="102"/>
    <s v="Auckland"/>
    <s v="New Zealand"/>
    <s v="Trailer"/>
    <s v="Standard"/>
    <m/>
    <m/>
    <m/>
    <n v="4"/>
    <m/>
    <m/>
    <m/>
    <m/>
  </r>
  <r>
    <n v="287"/>
    <s v="Caravan"/>
    <x v="19"/>
    <x v="6"/>
    <s v="LUNA DELTA"/>
    <x v="3"/>
    <d v="2022-02-04T00:00:00"/>
    <n v="109"/>
    <s v="Wellington"/>
    <s v="New Zealand"/>
    <s v="Caravan"/>
    <s v="Standard"/>
    <m/>
    <m/>
    <m/>
    <n v="1"/>
    <m/>
    <m/>
    <m/>
    <m/>
  </r>
  <r>
    <n v="288"/>
    <s v="Trailer"/>
    <x v="0"/>
    <x v="35"/>
    <s v="VULCAN"/>
    <x v="0"/>
    <d v="2022-02-04T00:00:00"/>
    <n v="102"/>
    <s v="Auckland"/>
    <s v="New Zealand"/>
    <s v="Trailer"/>
    <s v="Standard"/>
    <m/>
    <m/>
    <m/>
    <n v="4"/>
    <m/>
    <m/>
    <m/>
    <m/>
  </r>
  <r>
    <n v="289"/>
    <s v="Trailer"/>
    <x v="0"/>
    <x v="35"/>
    <s v="TUFF"/>
    <x v="0"/>
    <d v="2022-02-04T00:00:00"/>
    <n v="104"/>
    <s v="Bay of Plenty"/>
    <s v="New Zealand"/>
    <s v="Trailer"/>
    <s v="Standard"/>
    <m/>
    <m/>
    <m/>
    <n v="4"/>
    <m/>
    <m/>
    <m/>
    <m/>
  </r>
  <r>
    <n v="290"/>
    <s v="Boat Trailer"/>
    <x v="9"/>
    <x v="35"/>
    <n v="4"/>
    <x v="4"/>
    <d v="2022-02-04T00:00:00"/>
    <n v="114"/>
    <s v="Canterbury"/>
    <s v="New Zealand"/>
    <s v="Custombuilt"/>
    <s v="Standard"/>
    <m/>
    <m/>
    <m/>
    <n v="1"/>
    <m/>
    <m/>
    <m/>
    <m/>
  </r>
  <r>
    <n v="291"/>
    <s v="Trailer - Heavy"/>
    <x v="0"/>
    <x v="47"/>
    <s v="FLATDECK"/>
    <x v="2"/>
    <d v="2022-02-04T00:00:00"/>
    <n v="114"/>
    <s v="Canterbury"/>
    <s v="New Zealand"/>
    <s v="Trailer"/>
    <s v="Standard"/>
    <m/>
    <m/>
    <m/>
    <n v="4"/>
    <m/>
    <m/>
    <m/>
    <m/>
  </r>
  <r>
    <n v="292"/>
    <s v="Trailer"/>
    <x v="2"/>
    <x v="35"/>
    <s v="TRAILER 8X4"/>
    <x v="0"/>
    <d v="2022-02-13T00:00:00"/>
    <n v="102"/>
    <s v="Auckland"/>
    <s v="New Zealand"/>
    <s v="Briford"/>
    <s v="Standard"/>
    <m/>
    <m/>
    <m/>
    <n v="2"/>
    <m/>
    <m/>
    <m/>
    <m/>
  </r>
  <r>
    <n v="293"/>
    <s v="Roadbike"/>
    <x v="6"/>
    <x v="2"/>
    <s v="GSX 750"/>
    <x v="2"/>
    <d v="2022-02-13T00:00:00"/>
    <n v="102"/>
    <s v="Auckland"/>
    <s v="New Zealand"/>
    <s v="Suzuki"/>
    <s v="Standard"/>
    <m/>
    <m/>
    <m/>
    <n v="1"/>
    <m/>
    <m/>
    <m/>
    <m/>
  </r>
  <r>
    <n v="294"/>
    <s v="Trailer"/>
    <x v="2"/>
    <x v="29"/>
    <s v="8X4"/>
    <x v="0"/>
    <d v="2022-02-13T00:00:00"/>
    <n v="114"/>
    <s v="Canterbury"/>
    <s v="New Zealand"/>
    <s v="Briford"/>
    <s v="Standard"/>
    <m/>
    <m/>
    <m/>
    <n v="2"/>
    <m/>
    <m/>
    <m/>
    <m/>
  </r>
  <r>
    <n v="295"/>
    <s v="Boat Trailer"/>
    <x v="38"/>
    <x v="12"/>
    <s v="JII"/>
    <x v="0"/>
    <d v="2022-02-14T00:00:00"/>
    <n v="104"/>
    <s v="Bay of Plenty"/>
    <s v="New Zealand"/>
    <s v="Voyager"/>
    <s v="Standard"/>
    <m/>
    <m/>
    <m/>
    <n v="1"/>
    <m/>
    <m/>
    <m/>
    <m/>
  </r>
  <r>
    <n v="296"/>
    <s v="Boat Trailer"/>
    <x v="0"/>
    <x v="9"/>
    <s v="HOSKING"/>
    <x v="0"/>
    <d v="2022-02-14T00:00:00"/>
    <n v="102"/>
    <s v="Auckland"/>
    <s v="New Zealand"/>
    <s v="Trailer"/>
    <s v="Standard"/>
    <m/>
    <m/>
    <m/>
    <n v="2"/>
    <m/>
    <m/>
    <m/>
    <m/>
  </r>
  <r>
    <n v="297"/>
    <s v="Boat Trailer"/>
    <x v="0"/>
    <x v="29"/>
    <s v="SPORTLINE 610 HT"/>
    <x v="4"/>
    <d v="2022-02-14T00:00:00"/>
    <n v="103"/>
    <s v="Waikato"/>
    <s v="New Zealand"/>
    <s v="Trailer"/>
    <s v="Standard"/>
    <m/>
    <m/>
    <m/>
    <n v="2"/>
    <m/>
    <m/>
    <m/>
    <m/>
  </r>
  <r>
    <n v="298"/>
    <s v="Roadbike"/>
    <x v="39"/>
    <x v="12"/>
    <s v="PEGASO"/>
    <x v="7"/>
    <d v="2022-02-14T00:00:00"/>
    <n v="115"/>
    <s v="Otago"/>
    <s v="New Zealand"/>
    <s v="Aprilia"/>
    <s v="Standard"/>
    <m/>
    <m/>
    <m/>
    <n v="1"/>
    <m/>
    <m/>
    <m/>
    <m/>
  </r>
  <r>
    <n v="299"/>
    <s v="Moped"/>
    <x v="1"/>
    <x v="6"/>
    <s v="CV50 JOG"/>
    <x v="2"/>
    <d v="2022-02-15T00:00:00"/>
    <n v="102"/>
    <s v="Auckland"/>
    <s v="New Zealand"/>
    <s v="Yamaha"/>
    <s v="Standard"/>
    <m/>
    <m/>
    <m/>
    <n v="1"/>
    <m/>
    <m/>
    <m/>
    <m/>
  </r>
  <r>
    <n v="300"/>
    <s v="Trailer"/>
    <x v="0"/>
    <x v="29"/>
    <s v="HANSA CHIPPER"/>
    <x v="5"/>
    <d v="2022-02-15T00:00:00"/>
    <n v="103"/>
    <s v="Waikato"/>
    <s v="New Zealand"/>
    <s v="Trailer"/>
    <s v="Standard"/>
    <m/>
    <m/>
    <m/>
    <n v="1"/>
    <m/>
    <m/>
    <m/>
    <m/>
  </r>
  <r>
    <n v="301"/>
    <s v="Roadbike"/>
    <x v="6"/>
    <x v="6"/>
    <s v="GSX600F"/>
    <x v="1"/>
    <d v="2022-02-16T00:00:00"/>
    <n v="101"/>
    <s v="Northland"/>
    <s v="New Zealand"/>
    <s v="Suzuki"/>
    <s v="Standard"/>
    <m/>
    <m/>
    <m/>
    <n v="2"/>
    <m/>
    <m/>
    <m/>
    <m/>
  </r>
  <r>
    <n v="302"/>
    <s v="Trailer"/>
    <x v="28"/>
    <x v="4"/>
    <s v="KEA MX4"/>
    <x v="0"/>
    <d v="2022-02-16T00:00:00"/>
    <n v="102"/>
    <s v="Auckland"/>
    <s v="New Zealand"/>
    <s v="Kea"/>
    <s v="Standard"/>
    <m/>
    <m/>
    <m/>
    <n v="1"/>
    <m/>
    <m/>
    <m/>
    <m/>
  </r>
  <r>
    <n v="303"/>
    <s v="Trailer"/>
    <x v="2"/>
    <x v="25"/>
    <s v="SINGLE AXLE"/>
    <x v="4"/>
    <d v="2022-02-16T00:00:00"/>
    <n v="114"/>
    <s v="Canterbury"/>
    <s v="New Zealand"/>
    <s v="Briford"/>
    <s v="Standard"/>
    <m/>
    <m/>
    <m/>
    <n v="1"/>
    <m/>
    <m/>
    <m/>
    <m/>
  </r>
  <r>
    <n v="304"/>
    <s v="Roadbike"/>
    <x v="6"/>
    <x v="18"/>
    <s v="GSX"/>
    <x v="9"/>
    <d v="2022-02-16T00:00:00"/>
    <n v="102"/>
    <s v="Auckland"/>
    <s v="New Zealand"/>
    <s v="Suzuki"/>
    <s v="Standard"/>
    <m/>
    <m/>
    <m/>
    <n v="2"/>
    <m/>
    <m/>
    <m/>
    <m/>
  </r>
  <r>
    <n v="305"/>
    <s v="Boat Trailer"/>
    <x v="0"/>
    <x v="4"/>
    <s v="AFC JETSKI"/>
    <x v="0"/>
    <d v="2022-02-16T00:00:00"/>
    <n v="109"/>
    <s v="Wellington"/>
    <s v="New Zealand"/>
    <s v="Trailer"/>
    <s v="Standard"/>
    <m/>
    <m/>
    <m/>
    <n v="1"/>
    <m/>
    <m/>
    <m/>
    <m/>
  </r>
  <r>
    <n v="306"/>
    <s v="Trailer"/>
    <x v="40"/>
    <x v="27"/>
    <s v="RSKF1F27.9"/>
    <x v="7"/>
    <d v="2022-02-17T00:00:00"/>
    <n v="102"/>
    <s v="Auckland"/>
    <s v="New Zealand"/>
    <s v="Domett"/>
    <s v="Standard"/>
    <m/>
    <m/>
    <m/>
    <n v="1"/>
    <m/>
    <m/>
    <m/>
    <m/>
  </r>
  <r>
    <n v="307"/>
    <s v="Boat Trailer"/>
    <x v="0"/>
    <x v="4"/>
    <s v="ASD JETSKI"/>
    <x v="0"/>
    <d v="2022-02-17T00:00:00"/>
    <n v="102"/>
    <s v="Auckland"/>
    <s v="New Zealand"/>
    <s v="Trailer"/>
    <s v="Standard"/>
    <m/>
    <m/>
    <m/>
    <n v="1"/>
    <m/>
    <m/>
    <m/>
    <m/>
  </r>
  <r>
    <n v="308"/>
    <s v="Caravan"/>
    <x v="41"/>
    <x v="42"/>
    <s v="PEGEANT S7 LOIRE"/>
    <x v="3"/>
    <d v="2022-02-17T00:00:00"/>
    <n v="102"/>
    <s v="Auckland"/>
    <s v="New Zealand"/>
    <s v="Bailey"/>
    <s v="Standard"/>
    <m/>
    <m/>
    <m/>
    <n v="1"/>
    <m/>
    <m/>
    <m/>
    <m/>
  </r>
  <r>
    <n v="309"/>
    <s v="Boat Trailer"/>
    <x v="0"/>
    <x v="4"/>
    <s v="JETSKI"/>
    <x v="4"/>
    <d v="2022-02-18T00:00:00"/>
    <n v="101"/>
    <s v="Northland"/>
    <s v="New Zealand"/>
    <s v="Trailer"/>
    <s v="Standard"/>
    <m/>
    <m/>
    <m/>
    <n v="1"/>
    <m/>
    <m/>
    <m/>
    <m/>
  </r>
  <r>
    <n v="310"/>
    <s v="Roadbike"/>
    <x v="11"/>
    <x v="48"/>
    <s v="ZL 900"/>
    <x v="7"/>
    <d v="2022-02-18T00:00:00"/>
    <n v="101"/>
    <s v="Northland"/>
    <s v="New Zealand"/>
    <s v="Kawasaki"/>
    <s v="Standard"/>
    <m/>
    <m/>
    <m/>
    <n v="1"/>
    <m/>
    <m/>
    <m/>
    <m/>
  </r>
  <r>
    <n v="311"/>
    <s v="Boat Trailer"/>
    <x v="0"/>
    <x v="4"/>
    <s v="JETSKI"/>
    <x v="0"/>
    <d v="2022-02-19T00:00:00"/>
    <n v="103"/>
    <s v="Waikato"/>
    <s v="New Zealand"/>
    <s v="Trailer"/>
    <s v="Standard"/>
    <m/>
    <m/>
    <m/>
    <n v="2"/>
    <m/>
    <m/>
    <m/>
    <m/>
  </r>
  <r>
    <n v="312"/>
    <s v="Trailer"/>
    <x v="0"/>
    <x v="4"/>
    <s v="BRI-INN"/>
    <x v="0"/>
    <d v="2022-02-19T00:00:00"/>
    <n v="114"/>
    <s v="Canterbury"/>
    <s v="New Zealand"/>
    <s v="Trailer"/>
    <s v="Standard"/>
    <m/>
    <m/>
    <m/>
    <n v="2"/>
    <m/>
    <m/>
    <m/>
    <m/>
  </r>
  <r>
    <n v="313"/>
    <s v="Trailer"/>
    <x v="8"/>
    <x v="31"/>
    <s v="LOCAL"/>
    <x v="4"/>
    <d v="2022-02-19T00:00:00"/>
    <n v="103"/>
    <s v="Waikato"/>
    <s v="New Zealand"/>
    <s v="Homebuilt"/>
    <s v="Standard"/>
    <m/>
    <m/>
    <m/>
    <n v="1"/>
    <m/>
    <m/>
    <m/>
    <m/>
  </r>
  <r>
    <n v="314"/>
    <s v="Boat Trailer"/>
    <x v="0"/>
    <x v="29"/>
    <s v="JEYSKI ACTION LAB"/>
    <x v="4"/>
    <d v="2022-02-21T00:00:00"/>
    <n v="102"/>
    <s v="Auckland"/>
    <s v="New Zealand"/>
    <s v="Trailer"/>
    <s v="Standard"/>
    <m/>
    <m/>
    <m/>
    <n v="1"/>
    <m/>
    <m/>
    <m/>
    <m/>
  </r>
  <r>
    <n v="315"/>
    <s v="Boat Trailer"/>
    <x v="9"/>
    <x v="4"/>
    <s v="AUCKLAND"/>
    <x v="0"/>
    <d v="2022-02-21T00:00:00"/>
    <n v="102"/>
    <s v="Auckland"/>
    <s v="New Zealand"/>
    <s v="Custombuilt"/>
    <s v="Standard"/>
    <m/>
    <m/>
    <m/>
    <n v="1"/>
    <m/>
    <m/>
    <m/>
    <m/>
  </r>
  <r>
    <n v="316"/>
    <s v="Roadbike"/>
    <x v="42"/>
    <x v="19"/>
    <s v="GV"/>
    <x v="7"/>
    <d v="2022-02-22T00:00:00"/>
    <n v="105"/>
    <s v="Gisborne"/>
    <s v="New Zealand"/>
    <s v="Hyosung"/>
    <s v="Standard"/>
    <m/>
    <m/>
    <m/>
    <n v="1"/>
    <m/>
    <m/>
    <m/>
    <m/>
  </r>
  <r>
    <n v="317"/>
    <s v="Boat Trailer"/>
    <x v="0"/>
    <x v="4"/>
    <s v="HOMEMADE"/>
    <x v="4"/>
    <d v="2022-02-22T00:00:00"/>
    <n v="103"/>
    <s v="Waikato"/>
    <s v="New Zealand"/>
    <s v="Trailer"/>
    <s v="Standard"/>
    <m/>
    <m/>
    <m/>
    <n v="2"/>
    <m/>
    <m/>
    <m/>
    <m/>
  </r>
  <r>
    <n v="318"/>
    <s v="Trailer - Heavy"/>
    <x v="2"/>
    <x v="35"/>
    <s v="OTHER COMMERCIAL TRA"/>
    <x v="0"/>
    <d v="2022-02-22T00:00:00"/>
    <n v="102"/>
    <s v="Auckland"/>
    <s v="New Zealand"/>
    <s v="Briford"/>
    <s v="Standard"/>
    <m/>
    <m/>
    <m/>
    <n v="1"/>
    <m/>
    <m/>
    <m/>
    <m/>
  </r>
  <r>
    <n v="319"/>
    <s v="Caravan"/>
    <x v="19"/>
    <x v="27"/>
    <s v="CHEVRON 1300"/>
    <x v="3"/>
    <d v="2022-02-22T00:00:00"/>
    <n v="104"/>
    <s v="Bay of Plenty"/>
    <s v="New Zealand"/>
    <s v="Caravan"/>
    <s v="Standard"/>
    <m/>
    <m/>
    <m/>
    <n v="1"/>
    <m/>
    <m/>
    <m/>
    <m/>
  </r>
  <r>
    <n v="320"/>
    <s v="Trailer"/>
    <x v="0"/>
    <x v="38"/>
    <s v="HOMEMADE"/>
    <x v="4"/>
    <d v="2022-02-22T00:00:00"/>
    <n v="106"/>
    <s v="Hawke's Bay"/>
    <s v="New Zealand"/>
    <s v="Trailer"/>
    <s v="Standard"/>
    <m/>
    <m/>
    <m/>
    <n v="2"/>
    <m/>
    <m/>
    <m/>
    <m/>
  </r>
  <r>
    <n v="321"/>
    <s v="Trailer"/>
    <x v="0"/>
    <x v="4"/>
    <s v="DOMESTIC"/>
    <x v="0"/>
    <d v="2022-02-23T00:00:00"/>
    <n v="102"/>
    <s v="Auckland"/>
    <s v="New Zealand"/>
    <s v="Trailer"/>
    <s v="Standard"/>
    <m/>
    <m/>
    <m/>
    <n v="5"/>
    <m/>
    <m/>
    <m/>
    <m/>
  </r>
  <r>
    <n v="322"/>
    <s v="Trailer"/>
    <x v="0"/>
    <x v="4"/>
    <s v="DOMESTIC TRAILER"/>
    <x v="0"/>
    <d v="2022-02-23T00:00:00"/>
    <n v="108"/>
    <s v="Manawatū-Whanganui"/>
    <s v="New Zealand"/>
    <s v="Trailer"/>
    <s v="Standard"/>
    <m/>
    <m/>
    <m/>
    <n v="5"/>
    <m/>
    <m/>
    <m/>
    <m/>
  </r>
  <r>
    <n v="323"/>
    <s v="Trailer"/>
    <x v="0"/>
    <x v="4"/>
    <s v="ELITE 8X4"/>
    <x v="0"/>
    <d v="2022-02-23T00:00:00"/>
    <n v="114"/>
    <s v="Canterbury"/>
    <s v="New Zealand"/>
    <s v="Trailer"/>
    <s v="Standard"/>
    <m/>
    <m/>
    <m/>
    <n v="5"/>
    <m/>
    <m/>
    <m/>
    <m/>
  </r>
  <r>
    <n v="324"/>
    <s v="Trailer"/>
    <x v="0"/>
    <x v="4"/>
    <s v="FUTURA"/>
    <x v="4"/>
    <d v="2022-02-23T00:00:00"/>
    <n v="102"/>
    <s v="Auckland"/>
    <s v="New Zealand"/>
    <s v="Trailer"/>
    <s v="Standard"/>
    <m/>
    <m/>
    <m/>
    <n v="5"/>
    <m/>
    <m/>
    <m/>
    <m/>
  </r>
  <r>
    <n v="325"/>
    <s v="Boat Trailer"/>
    <x v="0"/>
    <x v="4"/>
    <s v="DMW"/>
    <x v="0"/>
    <d v="2022-02-23T00:00:00"/>
    <n v="102"/>
    <s v="Auckland"/>
    <s v="New Zealand"/>
    <s v="Trailer"/>
    <s v="Standard"/>
    <m/>
    <m/>
    <m/>
    <n v="5"/>
    <m/>
    <m/>
    <m/>
    <m/>
  </r>
  <r>
    <n v="326"/>
    <s v="Trailer"/>
    <x v="0"/>
    <x v="4"/>
    <s v="TUFF"/>
    <x v="0"/>
    <d v="2022-02-24T00:00:00"/>
    <n v="108"/>
    <s v="Manawatū-Whanganui"/>
    <s v="New Zealand"/>
    <s v="Trailer"/>
    <s v="Standard"/>
    <m/>
    <m/>
    <m/>
    <n v="2"/>
    <m/>
    <m/>
    <m/>
    <m/>
  </r>
  <r>
    <n v="327"/>
    <s v="Caravan"/>
    <x v="43"/>
    <x v="47"/>
    <n v="560"/>
    <x v="3"/>
    <d v="2022-02-24T00:00:00"/>
    <n v="114"/>
    <s v="Canterbury"/>
    <s v="New Zealand"/>
    <s v="Crusader"/>
    <s v="Standard"/>
    <m/>
    <m/>
    <m/>
    <n v="1"/>
    <m/>
    <m/>
    <m/>
    <m/>
  </r>
  <r>
    <n v="328"/>
    <s v="Roadbike"/>
    <x v="6"/>
    <x v="18"/>
    <s v="GN125H"/>
    <x v="7"/>
    <d v="2022-02-24T00:00:00"/>
    <n v="111"/>
    <s v="Nelson"/>
    <s v="New Zealand"/>
    <s v="Suzuki"/>
    <s v="Standard"/>
    <m/>
    <m/>
    <m/>
    <n v="1"/>
    <m/>
    <m/>
    <m/>
    <m/>
  </r>
  <r>
    <n v="329"/>
    <s v="Trailer"/>
    <x v="0"/>
    <x v="24"/>
    <s v="DOMESTIC TRAILER"/>
    <x v="4"/>
    <d v="2022-02-24T00:00:00"/>
    <n v="105"/>
    <s v="Gisborne"/>
    <s v="New Zealand"/>
    <s v="Trailer"/>
    <s v="Standard"/>
    <m/>
    <m/>
    <m/>
    <n v="2"/>
    <m/>
    <m/>
    <m/>
    <m/>
  </r>
  <r>
    <n v="330"/>
    <s v="Trailer"/>
    <x v="28"/>
    <x v="4"/>
    <s v="K85S"/>
    <x v="0"/>
    <d v="2022-02-25T00:00:00"/>
    <n v="104"/>
    <s v="Bay of Plenty"/>
    <s v="New Zealand"/>
    <s v="Kea"/>
    <s v="Standard"/>
    <m/>
    <m/>
    <m/>
    <n v="1"/>
    <m/>
    <m/>
    <m/>
    <m/>
  </r>
  <r>
    <n v="331"/>
    <s v="Roadbike"/>
    <x v="6"/>
    <x v="2"/>
    <s v="GS"/>
    <x v="1"/>
    <d v="2022-02-25T00:00:00"/>
    <n v="102"/>
    <s v="Auckland"/>
    <s v="New Zealand"/>
    <s v="Suzuki"/>
    <s v="Standard"/>
    <m/>
    <m/>
    <m/>
    <n v="1"/>
    <m/>
    <m/>
    <m/>
    <m/>
  </r>
  <r>
    <n v="332"/>
    <s v="Trailer"/>
    <x v="0"/>
    <x v="36"/>
    <s v="DOMESTIC TRAILER"/>
    <x v="0"/>
    <d v="2022-02-26T00:00:00"/>
    <n v="107"/>
    <s v="Taranaki"/>
    <s v="New Zealand"/>
    <s v="Trailer"/>
    <s v="Standard"/>
    <m/>
    <m/>
    <m/>
    <n v="1"/>
    <m/>
    <m/>
    <m/>
    <m/>
  </r>
  <r>
    <n v="333"/>
    <s v="Trailer"/>
    <x v="0"/>
    <x v="4"/>
    <s v="8X5"/>
    <x v="4"/>
    <d v="2022-02-27T00:00:00"/>
    <n v="111"/>
    <s v="Nelson"/>
    <s v="New Zealand"/>
    <s v="Trailer"/>
    <s v="Standard"/>
    <m/>
    <m/>
    <m/>
    <n v="2"/>
    <m/>
    <m/>
    <m/>
    <m/>
  </r>
  <r>
    <n v="334"/>
    <s v="Trailer"/>
    <x v="24"/>
    <x v="36"/>
    <s v="11X5"/>
    <x v="0"/>
    <d v="2022-02-27T00:00:00"/>
    <n v="114"/>
    <s v="Canterbury"/>
    <s v="New Zealand"/>
    <s v="Pinto"/>
    <s v="Standard"/>
    <m/>
    <m/>
    <m/>
    <n v="1"/>
    <m/>
    <m/>
    <m/>
    <m/>
  </r>
  <r>
    <n v="335"/>
    <s v="Trailer"/>
    <x v="0"/>
    <x v="35"/>
    <s v="DOMESTIC"/>
    <x v="0"/>
    <d v="2022-02-27T00:00:00"/>
    <n v="102"/>
    <s v="Auckland"/>
    <s v="New Zealand"/>
    <s v="Trailer"/>
    <s v="Standard"/>
    <m/>
    <m/>
    <m/>
    <n v="2"/>
    <m/>
    <m/>
    <m/>
    <m/>
  </r>
  <r>
    <n v="336"/>
    <s v="Trailer"/>
    <x v="3"/>
    <x v="35"/>
    <s v="BRENT SMITH TRAILERS"/>
    <x v="0"/>
    <d v="2022-02-27T00:00:00"/>
    <n v="109"/>
    <s v="Wellington"/>
    <s v="New Zealand"/>
    <s v="Factory Built"/>
    <s v="Standard"/>
    <m/>
    <m/>
    <m/>
    <n v="1"/>
    <m/>
    <m/>
    <m/>
    <m/>
  </r>
  <r>
    <n v="337"/>
    <s v="Trailer"/>
    <x v="17"/>
    <x v="35"/>
    <s v="8X5"/>
    <x v="0"/>
    <d v="2022-02-28T00:00:00"/>
    <n v="104"/>
    <s v="Bay of Plenty"/>
    <s v="New Zealand"/>
    <s v="Titan"/>
    <s v="Standard"/>
    <m/>
    <m/>
    <m/>
    <n v="1"/>
    <m/>
    <m/>
    <m/>
    <m/>
  </r>
  <r>
    <n v="338"/>
    <s v="Trailer"/>
    <x v="2"/>
    <x v="35"/>
    <s v="8X4"/>
    <x v="0"/>
    <d v="2022-02-28T00:00:00"/>
    <n v="114"/>
    <s v="Canterbury"/>
    <s v="New Zealand"/>
    <s v="Briford"/>
    <s v="Standard"/>
    <m/>
    <m/>
    <m/>
    <n v="2"/>
    <m/>
    <m/>
    <m/>
    <m/>
  </r>
  <r>
    <n v="339"/>
    <s v="Trailer"/>
    <x v="8"/>
    <x v="35"/>
    <s v="TRAILERWAY"/>
    <x v="0"/>
    <d v="2022-02-28T00:00:00"/>
    <n v="102"/>
    <s v="Auckland"/>
    <s v="New Zealand"/>
    <s v="Homebuilt"/>
    <s v="Standard"/>
    <m/>
    <m/>
    <m/>
    <n v="1"/>
    <m/>
    <m/>
    <m/>
    <m/>
  </r>
  <r>
    <n v="340"/>
    <s v="Boat Trailer"/>
    <x v="32"/>
    <x v="35"/>
    <s v="TRAILER"/>
    <x v="0"/>
    <d v="2022-02-28T00:00:00"/>
    <n v="102"/>
    <s v="Auckland"/>
    <s v="New Zealand"/>
    <s v="Reid"/>
    <s v="Standard"/>
    <m/>
    <m/>
    <m/>
    <n v="1"/>
    <m/>
    <m/>
    <m/>
    <m/>
  </r>
  <r>
    <n v="341"/>
    <s v="Light Van"/>
    <x v="44"/>
    <x v="3"/>
    <s v="REGIUS"/>
    <x v="3"/>
    <d v="2022-02-28T00:00:00"/>
    <n v="102"/>
    <s v="Auckland"/>
    <s v="New Zealand"/>
    <s v="Toyota"/>
    <s v="Standard"/>
    <m/>
    <m/>
    <m/>
    <n v="1"/>
    <m/>
    <m/>
    <m/>
    <m/>
  </r>
  <r>
    <n v="342"/>
    <s v="Trailer"/>
    <x v="2"/>
    <x v="35"/>
    <s v="9X4 6 TANDEM"/>
    <x v="0"/>
    <d v="2022-02-28T00:00:00"/>
    <n v="109"/>
    <s v="Wellington"/>
    <s v="New Zealand"/>
    <s v="Briford"/>
    <s v="Standard"/>
    <m/>
    <m/>
    <m/>
    <n v="2"/>
    <m/>
    <m/>
    <m/>
    <m/>
  </r>
  <r>
    <n v="343"/>
    <s v="Trailer - Heavy"/>
    <x v="0"/>
    <x v="35"/>
    <s v="GT"/>
    <x v="0"/>
    <d v="2022-02-28T00:00:00"/>
    <n v="102"/>
    <s v="Auckland"/>
    <s v="New Zealand"/>
    <s v="Trailer"/>
    <s v="Standard"/>
    <m/>
    <m/>
    <m/>
    <n v="1"/>
    <m/>
    <m/>
    <m/>
    <m/>
  </r>
  <r>
    <n v="344"/>
    <s v="Trailer - Heavy"/>
    <x v="0"/>
    <x v="35"/>
    <s v="GT TRAILER"/>
    <x v="0"/>
    <d v="2022-03-01T00:00:00"/>
    <n v="104"/>
    <s v="Bay of Plenty"/>
    <s v="New Zealand"/>
    <s v="Trailer"/>
    <s v="Standard"/>
    <m/>
    <m/>
    <m/>
    <n v="2"/>
    <m/>
    <m/>
    <m/>
    <m/>
  </r>
  <r>
    <n v="345"/>
    <s v="Trailer"/>
    <x v="0"/>
    <x v="35"/>
    <s v="DOMESTIC"/>
    <x v="5"/>
    <d v="2022-03-01T00:00:00"/>
    <n v="101"/>
    <s v="Northland"/>
    <s v="New Zealand"/>
    <s v="Trailer"/>
    <s v="Standard"/>
    <m/>
    <m/>
    <m/>
    <n v="2"/>
    <m/>
    <m/>
    <m/>
    <m/>
  </r>
  <r>
    <n v="346"/>
    <s v="Trailer"/>
    <x v="0"/>
    <x v="6"/>
    <s v="HOMEMADE"/>
    <x v="1"/>
    <d v="2022-03-02T00:00:00"/>
    <n v="103"/>
    <s v="Waikato"/>
    <s v="New Zealand"/>
    <s v="Trailer"/>
    <s v="Standard"/>
    <m/>
    <m/>
    <m/>
    <n v="4"/>
    <m/>
    <m/>
    <m/>
    <m/>
  </r>
  <r>
    <n v="347"/>
    <s v="Trailer"/>
    <x v="0"/>
    <x v="35"/>
    <s v="DOMESTIC TRAILER"/>
    <x v="0"/>
    <d v="2022-03-02T00:00:00"/>
    <n v="114"/>
    <s v="Canterbury"/>
    <s v="New Zealand"/>
    <s v="Trailer"/>
    <s v="Standard"/>
    <m/>
    <m/>
    <m/>
    <n v="4"/>
    <m/>
    <m/>
    <m/>
    <m/>
  </r>
  <r>
    <n v="348"/>
    <s v="Caravan"/>
    <x v="19"/>
    <x v="2"/>
    <s v="BESSACARR CAMEO 625"/>
    <x v="3"/>
    <d v="2022-03-02T00:00:00"/>
    <n v="102"/>
    <s v="Auckland"/>
    <s v="New Zealand"/>
    <s v="Caravan"/>
    <s v="Standard"/>
    <m/>
    <m/>
    <m/>
    <n v="1"/>
    <m/>
    <m/>
    <m/>
    <m/>
  </r>
  <r>
    <n v="349"/>
    <s v="Trailer"/>
    <x v="0"/>
    <x v="35"/>
    <s v="TRAILER PRO"/>
    <x v="0"/>
    <d v="2022-03-02T00:00:00"/>
    <n v="114"/>
    <s v="Canterbury"/>
    <s v="New Zealand"/>
    <s v="Trailer"/>
    <s v="Standard"/>
    <m/>
    <m/>
    <m/>
    <n v="4"/>
    <m/>
    <m/>
    <m/>
    <m/>
  </r>
  <r>
    <n v="350"/>
    <s v="Trailer"/>
    <x v="0"/>
    <x v="35"/>
    <s v="8X4"/>
    <x v="0"/>
    <d v="2022-03-02T00:00:00"/>
    <n v="114"/>
    <s v="Canterbury"/>
    <s v="New Zealand"/>
    <s v="Trailer"/>
    <s v="Standard"/>
    <m/>
    <m/>
    <m/>
    <n v="4"/>
    <m/>
    <m/>
    <m/>
    <m/>
  </r>
  <r>
    <n v="351"/>
    <s v="Trailer"/>
    <x v="2"/>
    <x v="35"/>
    <s v="8X4 TANDEM"/>
    <x v="0"/>
    <d v="2022-03-03T00:00:00"/>
    <n v="114"/>
    <s v="Canterbury"/>
    <s v="New Zealand"/>
    <s v="Briford"/>
    <s v="Standard"/>
    <m/>
    <m/>
    <m/>
    <n v="1"/>
    <m/>
    <m/>
    <m/>
    <m/>
  </r>
  <r>
    <n v="352"/>
    <s v="Caravan"/>
    <x v="45"/>
    <x v="8"/>
    <s v="BARNWELL ARCHWAY"/>
    <x v="3"/>
    <d v="2022-03-03T00:00:00"/>
    <n v="106"/>
    <s v="Hawke's Bay"/>
    <s v="New Zealand"/>
    <s v="Swift"/>
    <s v="Standard"/>
    <m/>
    <m/>
    <m/>
    <n v="1"/>
    <m/>
    <m/>
    <m/>
    <m/>
  </r>
  <r>
    <n v="353"/>
    <s v="Trailer"/>
    <x v="0"/>
    <x v="35"/>
    <s v="HOMEMADE"/>
    <x v="1"/>
    <d v="2022-03-03T00:00:00"/>
    <n v="109"/>
    <s v="Wellington"/>
    <s v="New Zealand"/>
    <s v="Trailer"/>
    <s v="Standard"/>
    <m/>
    <m/>
    <m/>
    <n v="1"/>
    <m/>
    <m/>
    <m/>
    <m/>
  </r>
  <r>
    <n v="354"/>
    <s v="Trailer"/>
    <x v="17"/>
    <x v="35"/>
    <s v="CAR CARRIER"/>
    <x v="0"/>
    <d v="2022-03-04T00:00:00"/>
    <n v="104"/>
    <s v="Bay of Plenty"/>
    <s v="New Zealand"/>
    <s v="Titan"/>
    <s v="Standard"/>
    <m/>
    <m/>
    <m/>
    <n v="1"/>
    <m/>
    <m/>
    <m/>
    <m/>
  </r>
  <r>
    <n v="355"/>
    <s v="Trailer"/>
    <x v="0"/>
    <x v="49"/>
    <s v="LOCAL"/>
    <x v="4"/>
    <d v="2022-03-04T00:00:00"/>
    <n v="114"/>
    <s v="Canterbury"/>
    <s v="New Zealand"/>
    <s v="Trailer"/>
    <s v="Standard"/>
    <m/>
    <m/>
    <m/>
    <n v="2"/>
    <m/>
    <m/>
    <m/>
    <m/>
  </r>
  <r>
    <n v="356"/>
    <s v="Trailer"/>
    <x v="0"/>
    <x v="4"/>
    <s v="TRAYLA"/>
    <x v="0"/>
    <d v="2022-03-04T00:00:00"/>
    <n v="108"/>
    <s v="Manawatū-Whanganui"/>
    <s v="New Zealand"/>
    <s v="Trailer"/>
    <s v="Standard"/>
    <m/>
    <m/>
    <m/>
    <n v="2"/>
    <m/>
    <m/>
    <m/>
    <m/>
  </r>
  <r>
    <n v="357"/>
    <s v="Trailer"/>
    <x v="0"/>
    <x v="4"/>
    <s v="COMPASS-FPT104"/>
    <x v="0"/>
    <d v="2022-03-13T00:00:00"/>
    <n v="103"/>
    <s v="Waikato"/>
    <s v="New Zealand"/>
    <s v="Trailer"/>
    <s v="Standard"/>
    <m/>
    <m/>
    <m/>
    <n v="4"/>
    <m/>
    <m/>
    <m/>
    <m/>
  </r>
  <r>
    <n v="358"/>
    <s v="Trailer"/>
    <x v="0"/>
    <x v="4"/>
    <s v="GIBBONS"/>
    <x v="0"/>
    <d v="2022-03-13T00:00:00"/>
    <n v="103"/>
    <s v="Waikato"/>
    <s v="New Zealand"/>
    <s v="Trailer"/>
    <s v="Standard"/>
    <m/>
    <m/>
    <m/>
    <n v="4"/>
    <m/>
    <m/>
    <m/>
    <m/>
  </r>
  <r>
    <n v="359"/>
    <s v="Trailer"/>
    <x v="0"/>
    <x v="4"/>
    <s v="HOMEBUILT"/>
    <x v="1"/>
    <d v="2022-03-13T00:00:00"/>
    <n v="102"/>
    <s v="Auckland"/>
    <s v="New Zealand"/>
    <s v="Trailer"/>
    <s v="Standard"/>
    <m/>
    <m/>
    <m/>
    <n v="4"/>
    <m/>
    <m/>
    <m/>
    <m/>
  </r>
  <r>
    <n v="360"/>
    <s v="Trailer - Heavy"/>
    <x v="0"/>
    <x v="4"/>
    <s v="P.S."/>
    <x v="4"/>
    <d v="2022-03-13T00:00:00"/>
    <n v="107"/>
    <s v="Taranaki"/>
    <s v="New Zealand"/>
    <s v="Trailer"/>
    <s v="Standard"/>
    <m/>
    <m/>
    <m/>
    <n v="4"/>
    <m/>
    <m/>
    <m/>
    <m/>
  </r>
  <r>
    <n v="361"/>
    <s v="Roadbike"/>
    <x v="6"/>
    <x v="42"/>
    <s v="GSX650F"/>
    <x v="2"/>
    <d v="2022-03-13T00:00:00"/>
    <n v="103"/>
    <s v="Waikato"/>
    <s v="New Zealand"/>
    <s v="Suzuki"/>
    <s v="Standard"/>
    <m/>
    <m/>
    <m/>
    <n v="1"/>
    <m/>
    <m/>
    <m/>
    <m/>
  </r>
  <r>
    <n v="362"/>
    <s v="Trailer"/>
    <x v="0"/>
    <x v="12"/>
    <s v="FOXENG 1000"/>
    <x v="2"/>
    <d v="2022-03-14T00:00:00"/>
    <n v="109"/>
    <s v="Wellington"/>
    <s v="New Zealand"/>
    <s v="Trailer"/>
    <s v="Standard"/>
    <m/>
    <m/>
    <m/>
    <n v="2"/>
    <m/>
    <m/>
    <m/>
    <m/>
  </r>
  <r>
    <n v="363"/>
    <s v="Trailer"/>
    <x v="0"/>
    <x v="4"/>
    <s v="DOMESTIC"/>
    <x v="4"/>
    <d v="2022-03-14T00:00:00"/>
    <n v="102"/>
    <s v="Auckland"/>
    <s v="New Zealand"/>
    <s v="Trailer"/>
    <s v="Standard"/>
    <m/>
    <m/>
    <m/>
    <n v="2"/>
    <m/>
    <m/>
    <m/>
    <m/>
  </r>
  <r>
    <n v="364"/>
    <s v="Trailer"/>
    <x v="0"/>
    <x v="4"/>
    <s v="TANDEM"/>
    <x v="1"/>
    <d v="2022-03-15T00:00:00"/>
    <n v="104"/>
    <s v="Bay of Plenty"/>
    <s v="New Zealand"/>
    <s v="Trailer"/>
    <s v="Standard"/>
    <m/>
    <m/>
    <m/>
    <n v="2"/>
    <m/>
    <m/>
    <m/>
    <m/>
  </r>
  <r>
    <n v="365"/>
    <s v="Moped"/>
    <x v="6"/>
    <x v="6"/>
    <s v="AZ50 UDK6"/>
    <x v="1"/>
    <d v="2022-03-15T00:00:00"/>
    <n v="102"/>
    <s v="Auckland"/>
    <s v="New Zealand"/>
    <s v="Suzuki"/>
    <s v="Standard"/>
    <m/>
    <m/>
    <m/>
    <n v="1"/>
    <m/>
    <m/>
    <m/>
    <m/>
  </r>
  <r>
    <n v="366"/>
    <s v="Trailer"/>
    <x v="0"/>
    <x v="4"/>
    <s v="COOPER"/>
    <x v="1"/>
    <d v="2022-03-15T00:00:00"/>
    <n v="114"/>
    <s v="Canterbury"/>
    <s v="New Zealand"/>
    <s v="Trailer"/>
    <s v="Standard"/>
    <m/>
    <m/>
    <m/>
    <n v="2"/>
    <m/>
    <m/>
    <m/>
    <m/>
  </r>
  <r>
    <n v="367"/>
    <s v="Trailer"/>
    <x v="17"/>
    <x v="4"/>
    <s v="DOMESTIC TRAILER"/>
    <x v="0"/>
    <d v="2022-03-15T00:00:00"/>
    <n v="105"/>
    <s v="Gisborne"/>
    <s v="New Zealand"/>
    <s v="Titan"/>
    <s v="Standard"/>
    <m/>
    <m/>
    <m/>
    <n v="1"/>
    <m/>
    <m/>
    <m/>
    <m/>
  </r>
  <r>
    <n v="368"/>
    <s v="Roadbike"/>
    <x v="18"/>
    <x v="19"/>
    <s v="SOFTAIL"/>
    <x v="1"/>
    <d v="2022-03-16T00:00:00"/>
    <n v="102"/>
    <s v="Auckland"/>
    <s v="New Zealand"/>
    <s v="Harley Davidson"/>
    <s v="Standard"/>
    <m/>
    <m/>
    <m/>
    <n v="1"/>
    <m/>
    <m/>
    <m/>
    <m/>
  </r>
  <r>
    <n v="369"/>
    <s v="Boat Trailer"/>
    <x v="8"/>
    <x v="4"/>
    <s v="BOX TRAILER"/>
    <x v="0"/>
    <d v="2022-03-16T00:00:00"/>
    <n v="101"/>
    <s v="Northland"/>
    <s v="New Zealand"/>
    <s v="Homebuilt"/>
    <s v="Standard"/>
    <m/>
    <m/>
    <m/>
    <n v="1"/>
    <m/>
    <m/>
    <m/>
    <m/>
  </r>
  <r>
    <n v="370"/>
    <s v="Caravan"/>
    <x v="19"/>
    <x v="28"/>
    <s v="ZEPHYR"/>
    <x v="3"/>
    <d v="2022-03-16T00:00:00"/>
    <n v="116"/>
    <s v="Southland"/>
    <s v="New Zealand"/>
    <s v="Caravan"/>
    <s v="Standard"/>
    <m/>
    <m/>
    <m/>
    <n v="1"/>
    <m/>
    <m/>
    <m/>
    <m/>
  </r>
  <r>
    <n v="371"/>
    <s v="Trailer"/>
    <x v="0"/>
    <x v="4"/>
    <s v="ROADCHEF"/>
    <x v="0"/>
    <d v="2022-03-17T00:00:00"/>
    <n v="103"/>
    <s v="Waikato"/>
    <s v="New Zealand"/>
    <s v="Trailer"/>
    <s v="Standard"/>
    <m/>
    <m/>
    <m/>
    <n v="2"/>
    <m/>
    <m/>
    <m/>
    <m/>
  </r>
  <r>
    <n v="372"/>
    <s v="Trailer"/>
    <x v="0"/>
    <x v="4"/>
    <s v="TUFF"/>
    <x v="0"/>
    <d v="2022-03-17T00:00:00"/>
    <n v="102"/>
    <s v="Auckland"/>
    <s v="New Zealand"/>
    <s v="Trailer"/>
    <s v="Standard"/>
    <m/>
    <m/>
    <m/>
    <n v="2"/>
    <m/>
    <m/>
    <m/>
    <m/>
  </r>
  <r>
    <n v="373"/>
    <s v="Roadbike"/>
    <x v="6"/>
    <x v="13"/>
    <s v="SV1000S"/>
    <x v="2"/>
    <d v="2022-03-17T00:00:00"/>
    <n v="102"/>
    <s v="Auckland"/>
    <s v="New Zealand"/>
    <s v="Suzuki"/>
    <s v="Standard"/>
    <m/>
    <m/>
    <m/>
    <n v="1"/>
    <m/>
    <m/>
    <m/>
    <m/>
  </r>
  <r>
    <n v="374"/>
    <s v="Roadbike"/>
    <x v="5"/>
    <x v="15"/>
    <s v="CBR"/>
    <x v="7"/>
    <d v="2022-03-18T00:00:00"/>
    <n v="102"/>
    <s v="Auckland"/>
    <s v="New Zealand"/>
    <s v="Honda"/>
    <s v="Standard"/>
    <m/>
    <m/>
    <m/>
    <n v="1"/>
    <m/>
    <m/>
    <m/>
    <m/>
  </r>
  <r>
    <n v="375"/>
    <s v="Boat Trailer"/>
    <x v="0"/>
    <x v="24"/>
    <s v="GIBBONS"/>
    <x v="4"/>
    <d v="2022-03-18T00:00:00"/>
    <n v="101"/>
    <s v="Northland"/>
    <s v="New Zealand"/>
    <s v="Trailer"/>
    <s v="Standard"/>
    <m/>
    <m/>
    <m/>
    <n v="2"/>
    <m/>
    <m/>
    <m/>
    <m/>
  </r>
  <r>
    <n v="376"/>
    <s v="Trailer"/>
    <x v="0"/>
    <x v="4"/>
    <s v="DOMESTIC"/>
    <x v="4"/>
    <d v="2022-03-18T00:00:00"/>
    <n v="102"/>
    <s v="Auckland"/>
    <s v="New Zealand"/>
    <s v="Trailer"/>
    <s v="Standard"/>
    <m/>
    <m/>
    <m/>
    <n v="2"/>
    <m/>
    <m/>
    <m/>
    <m/>
  </r>
  <r>
    <n v="377"/>
    <s v="Trailer"/>
    <x v="8"/>
    <x v="4"/>
    <s v="TRAILER"/>
    <x v="1"/>
    <d v="2022-03-18T00:00:00"/>
    <n v="115"/>
    <s v="Otago"/>
    <s v="New Zealand"/>
    <s v="Homebuilt"/>
    <s v="Standard"/>
    <m/>
    <m/>
    <m/>
    <n v="1"/>
    <m/>
    <m/>
    <m/>
    <m/>
  </r>
  <r>
    <n v="378"/>
    <s v="Roadbike"/>
    <x v="6"/>
    <x v="18"/>
    <s v="GSX750F"/>
    <x v="1"/>
    <d v="2022-03-19T00:00:00"/>
    <n v="102"/>
    <s v="Auckland"/>
    <s v="New Zealand"/>
    <s v="Suzuki"/>
    <s v="Standard"/>
    <m/>
    <m/>
    <m/>
    <n v="2"/>
    <m/>
    <m/>
    <m/>
    <m/>
  </r>
  <r>
    <n v="379"/>
    <s v="Roadbike"/>
    <x v="6"/>
    <x v="42"/>
    <s v="GSX"/>
    <x v="2"/>
    <d v="2022-03-19T00:00:00"/>
    <n v="114"/>
    <s v="Canterbury"/>
    <s v="New Zealand"/>
    <s v="Suzuki"/>
    <s v="Standard"/>
    <m/>
    <m/>
    <m/>
    <n v="2"/>
    <m/>
    <m/>
    <m/>
    <m/>
  </r>
  <r>
    <n v="380"/>
    <s v="Trailer"/>
    <x v="0"/>
    <x v="4"/>
    <s v="BOAT"/>
    <x v="0"/>
    <d v="2022-03-19T00:00:00"/>
    <n v="102"/>
    <s v="Auckland"/>
    <s v="New Zealand"/>
    <s v="Trailer"/>
    <s v="Standard"/>
    <m/>
    <m/>
    <m/>
    <n v="2"/>
    <m/>
    <m/>
    <m/>
    <m/>
  </r>
  <r>
    <n v="381"/>
    <s v="Trailer"/>
    <x v="8"/>
    <x v="12"/>
    <s v="DOMESTIC TRAILER"/>
    <x v="4"/>
    <d v="2022-03-19T00:00:00"/>
    <n v="102"/>
    <s v="Auckland"/>
    <s v="New Zealand"/>
    <s v="Homebuilt"/>
    <s v="Standard"/>
    <m/>
    <m/>
    <m/>
    <n v="1"/>
    <m/>
    <m/>
    <m/>
    <m/>
  </r>
  <r>
    <n v="382"/>
    <s v="Trailer"/>
    <x v="0"/>
    <x v="50"/>
    <s v="PRATTLEY"/>
    <x v="4"/>
    <d v="2022-03-19T00:00:00"/>
    <n v="114"/>
    <s v="Canterbury"/>
    <s v="New Zealand"/>
    <s v="Trailer"/>
    <s v="Standard"/>
    <m/>
    <m/>
    <m/>
    <n v="2"/>
    <m/>
    <m/>
    <m/>
    <m/>
  </r>
  <r>
    <n v="383"/>
    <s v="Boat Trailer"/>
    <x v="0"/>
    <x v="4"/>
    <s v="BOAT"/>
    <x v="0"/>
    <d v="2022-03-20T00:00:00"/>
    <n v="102"/>
    <s v="Auckland"/>
    <s v="New Zealand"/>
    <s v="Trailer"/>
    <s v="Standard"/>
    <m/>
    <m/>
    <m/>
    <n v="3"/>
    <m/>
    <m/>
    <m/>
    <m/>
  </r>
  <r>
    <n v="384"/>
    <s v="Trailer"/>
    <x v="0"/>
    <x v="4"/>
    <s v="JOB MATE 7 X 4"/>
    <x v="0"/>
    <d v="2022-03-20T00:00:00"/>
    <n v="105"/>
    <s v="Gisborne"/>
    <s v="New Zealand"/>
    <s v="Trailer"/>
    <s v="Standard"/>
    <m/>
    <m/>
    <m/>
    <n v="3"/>
    <m/>
    <m/>
    <m/>
    <m/>
  </r>
  <r>
    <n v="385"/>
    <s v="Trailer"/>
    <x v="0"/>
    <x v="4"/>
    <s v="TANDEM"/>
    <x v="4"/>
    <d v="2022-03-20T00:00:00"/>
    <n v="114"/>
    <s v="Canterbury"/>
    <s v="New Zealand"/>
    <s v="Trailer"/>
    <s v="Standard"/>
    <m/>
    <m/>
    <m/>
    <n v="3"/>
    <m/>
    <m/>
    <m/>
    <m/>
  </r>
  <r>
    <n v="386"/>
    <s v="Trailer"/>
    <x v="46"/>
    <x v="4"/>
    <s v="XAS48XD ROAD COMPRES"/>
    <x v="6"/>
    <d v="2022-03-21T00:00:00"/>
    <n v="114"/>
    <s v="Canterbury"/>
    <s v="New Zealand"/>
    <s v="Atlas"/>
    <s v="Standard"/>
    <m/>
    <m/>
    <m/>
    <n v="1"/>
    <m/>
    <m/>
    <m/>
    <m/>
  </r>
  <r>
    <n v="387"/>
    <s v="Moped"/>
    <x v="5"/>
    <x v="2"/>
    <s v="NVS50"/>
    <x v="1"/>
    <d v="2022-03-21T00:00:00"/>
    <n v="114"/>
    <s v="Canterbury"/>
    <s v="New Zealand"/>
    <s v="Honda"/>
    <s v="Standard"/>
    <m/>
    <m/>
    <m/>
    <n v="1"/>
    <m/>
    <m/>
    <m/>
    <m/>
  </r>
  <r>
    <n v="388"/>
    <s v="Roadbike"/>
    <x v="18"/>
    <x v="19"/>
    <s v="XL"/>
    <x v="1"/>
    <d v="2022-03-21T00:00:00"/>
    <n v="102"/>
    <s v="Auckland"/>
    <s v="New Zealand"/>
    <s v="Harley Davidson"/>
    <s v="Standard"/>
    <m/>
    <m/>
    <m/>
    <n v="1"/>
    <m/>
    <m/>
    <m/>
    <m/>
  </r>
  <r>
    <n v="389"/>
    <s v="Trailer"/>
    <x v="8"/>
    <x v="4"/>
    <s v="TRAILER"/>
    <x v="0"/>
    <d v="2022-03-21T00:00:00"/>
    <n v="106"/>
    <s v="Hawke's Bay"/>
    <s v="New Zealand"/>
    <s v="Homebuilt"/>
    <s v="Standard"/>
    <m/>
    <m/>
    <m/>
    <n v="1"/>
    <m/>
    <m/>
    <m/>
    <m/>
  </r>
  <r>
    <n v="390"/>
    <s v="Trailer"/>
    <x v="0"/>
    <x v="28"/>
    <s v="HOMEMADE"/>
    <x v="4"/>
    <d v="2022-03-21T00:00:00"/>
    <n v="108"/>
    <s v="Manawatū-Whanganui"/>
    <s v="New Zealand"/>
    <s v="Trailer"/>
    <s v="Standard"/>
    <m/>
    <m/>
    <m/>
    <n v="1"/>
    <m/>
    <m/>
    <m/>
    <m/>
  </r>
  <r>
    <n v="391"/>
    <s v="Boat Trailer"/>
    <x v="0"/>
    <x v="9"/>
    <s v="MUDGWAY"/>
    <x v="0"/>
    <d v="2022-03-22T00:00:00"/>
    <n v="115"/>
    <s v="Otago"/>
    <s v="New Zealand"/>
    <s v="Trailer"/>
    <s v="Standard"/>
    <m/>
    <m/>
    <m/>
    <n v="2"/>
    <m/>
    <m/>
    <m/>
    <m/>
  </r>
  <r>
    <n v="392"/>
    <s v="Trailer - Heavy"/>
    <x v="0"/>
    <x v="4"/>
    <s v="TPM"/>
    <x v="3"/>
    <d v="2022-03-22T00:00:00"/>
    <n v="114"/>
    <s v="Canterbury"/>
    <s v="New Zealand"/>
    <s v="Trailer"/>
    <s v="Standard"/>
    <m/>
    <m/>
    <m/>
    <n v="2"/>
    <m/>
    <m/>
    <m/>
    <m/>
  </r>
  <r>
    <n v="393"/>
    <s v="Trailer"/>
    <x v="0"/>
    <x v="4"/>
    <s v="PRO AUTO"/>
    <x v="0"/>
    <d v="2022-03-23T00:00:00"/>
    <n v="114"/>
    <s v="Canterbury"/>
    <s v="New Zealand"/>
    <s v="Trailer"/>
    <s v="Standard"/>
    <m/>
    <m/>
    <m/>
    <n v="1"/>
    <m/>
    <m/>
    <m/>
    <m/>
  </r>
  <r>
    <n v="394"/>
    <s v="Roadbike"/>
    <x v="6"/>
    <x v="6"/>
    <s v="UZ"/>
    <x v="2"/>
    <d v="2022-03-23T00:00:00"/>
    <n v="102"/>
    <s v="Auckland"/>
    <s v="New Zealand"/>
    <s v="Suzuki"/>
    <s v="Standard"/>
    <m/>
    <m/>
    <m/>
    <n v="1"/>
    <m/>
    <m/>
    <m/>
    <m/>
  </r>
  <r>
    <n v="395"/>
    <s v="Roadbike"/>
    <x v="42"/>
    <x v="6"/>
    <s v="GT"/>
    <x v="6"/>
    <d v="2022-03-24T00:00:00"/>
    <n v="106"/>
    <s v="Hawke's Bay"/>
    <s v="New Zealand"/>
    <s v="Hyosung"/>
    <s v="Standard"/>
    <m/>
    <m/>
    <m/>
    <n v="1"/>
    <m/>
    <m/>
    <m/>
    <m/>
  </r>
  <r>
    <n v="396"/>
    <s v="Moped"/>
    <x v="6"/>
    <x v="42"/>
    <s v="UZ50"/>
    <x v="9"/>
    <d v="2022-03-24T00:00:00"/>
    <n v="102"/>
    <s v="Auckland"/>
    <s v="New Zealand"/>
    <s v="Suzuki"/>
    <s v="Standard"/>
    <m/>
    <m/>
    <m/>
    <n v="1"/>
    <m/>
    <m/>
    <m/>
    <m/>
  </r>
  <r>
    <n v="397"/>
    <s v="Trailer"/>
    <x v="0"/>
    <x v="35"/>
    <s v="FOXENG 850"/>
    <x v="0"/>
    <d v="2022-03-24T00:00:00"/>
    <n v="104"/>
    <s v="Bay of Plenty"/>
    <s v="New Zealand"/>
    <s v="Trailer"/>
    <s v="Standard"/>
    <m/>
    <m/>
    <m/>
    <n v="5"/>
    <m/>
    <m/>
    <m/>
    <m/>
  </r>
  <r>
    <n v="398"/>
    <s v="Trailer"/>
    <x v="0"/>
    <x v="35"/>
    <s v="8X4"/>
    <x v="0"/>
    <d v="2022-03-24T00:00:00"/>
    <n v="115"/>
    <s v="Otago"/>
    <s v="New Zealand"/>
    <s v="Trailer"/>
    <s v="Standard"/>
    <m/>
    <m/>
    <m/>
    <n v="5"/>
    <m/>
    <m/>
    <m/>
    <m/>
  </r>
  <r>
    <n v="399"/>
    <s v="Trailer"/>
    <x v="0"/>
    <x v="35"/>
    <s v="ROAD CHIEF TR74CS/1"/>
    <x v="0"/>
    <d v="2022-03-24T00:00:00"/>
    <n v="109"/>
    <s v="Wellington"/>
    <s v="New Zealand"/>
    <s v="Trailer"/>
    <s v="Standard"/>
    <m/>
    <m/>
    <m/>
    <n v="5"/>
    <m/>
    <m/>
    <m/>
    <m/>
  </r>
  <r>
    <n v="400"/>
    <s v="Boat Trailer"/>
    <x v="0"/>
    <x v="51"/>
    <s v="REID"/>
    <x v="4"/>
    <d v="2022-03-24T00:00:00"/>
    <n v="111"/>
    <s v="Nelson"/>
    <s v="New Zealand"/>
    <s v="Trailer"/>
    <s v="Standard"/>
    <m/>
    <m/>
    <m/>
    <n v="5"/>
    <m/>
    <m/>
    <m/>
    <m/>
  </r>
  <r>
    <n v="401"/>
    <s v="Trailer"/>
    <x v="0"/>
    <x v="21"/>
    <s v="TANDEM"/>
    <x v="0"/>
    <d v="2022-03-24T00:00:00"/>
    <n v="101"/>
    <s v="Northland"/>
    <s v="New Zealand"/>
    <s v="Trailer"/>
    <s v="Standard"/>
    <m/>
    <m/>
    <m/>
    <n v="5"/>
    <m/>
    <m/>
    <m/>
    <m/>
  </r>
  <r>
    <n v="402"/>
    <s v="Trailer"/>
    <x v="3"/>
    <x v="11"/>
    <s v="BRENT SMITH TRAILERS"/>
    <x v="0"/>
    <d v="2022-03-24T00:00:00"/>
    <n v="102"/>
    <s v="Auckland"/>
    <s v="New Zealand"/>
    <s v="Factory Built"/>
    <s v="Standard"/>
    <m/>
    <m/>
    <m/>
    <n v="1"/>
    <m/>
    <m/>
    <m/>
    <m/>
  </r>
  <r>
    <n v="403"/>
    <s v="Trailer"/>
    <x v="0"/>
    <x v="11"/>
    <s v="CAR"/>
    <x v="1"/>
    <d v="2022-03-25T00:00:00"/>
    <n v="115"/>
    <s v="Otago"/>
    <s v="New Zealand"/>
    <s v="Trailer"/>
    <s v="Standard"/>
    <m/>
    <m/>
    <m/>
    <n v="3"/>
    <m/>
    <m/>
    <m/>
    <m/>
  </r>
  <r>
    <n v="404"/>
    <s v="Trailer - Heavy"/>
    <x v="0"/>
    <x v="44"/>
    <s v="LOCAL"/>
    <x v="4"/>
    <d v="2022-03-25T00:00:00"/>
    <n v="114"/>
    <s v="Canterbury"/>
    <s v="New Zealand"/>
    <s v="Trailer"/>
    <s v="Standard"/>
    <m/>
    <m/>
    <m/>
    <n v="3"/>
    <m/>
    <m/>
    <m/>
    <m/>
  </r>
  <r>
    <n v="405"/>
    <s v="Trailer"/>
    <x v="0"/>
    <x v="11"/>
    <s v="TRAILER PRO"/>
    <x v="0"/>
    <d v="2022-03-25T00:00:00"/>
    <n v="102"/>
    <s v="Auckland"/>
    <s v="New Zealand"/>
    <s v="Trailer"/>
    <s v="Standard"/>
    <m/>
    <m/>
    <m/>
    <n v="3"/>
    <m/>
    <m/>
    <m/>
    <m/>
  </r>
  <r>
    <n v="406"/>
    <s v="Trailer"/>
    <x v="3"/>
    <x v="11"/>
    <s v="TRAILUX TRAILER"/>
    <x v="0"/>
    <d v="2022-03-26T00:00:00"/>
    <n v="109"/>
    <s v="Wellington"/>
    <s v="New Zealand"/>
    <s v="Factory Built"/>
    <s v="Standard"/>
    <m/>
    <m/>
    <m/>
    <n v="1"/>
    <m/>
    <m/>
    <m/>
    <m/>
  </r>
  <r>
    <n v="407"/>
    <s v="Trailer"/>
    <x v="17"/>
    <x v="11"/>
    <s v="10 X 5"/>
    <x v="0"/>
    <d v="2022-03-26T00:00:00"/>
    <n v="109"/>
    <s v="Wellington"/>
    <s v="New Zealand"/>
    <s v="Titan"/>
    <s v="Standard"/>
    <m/>
    <m/>
    <m/>
    <n v="1"/>
    <m/>
    <m/>
    <m/>
    <m/>
  </r>
  <r>
    <n v="408"/>
    <s v="Trailer"/>
    <x v="0"/>
    <x v="11"/>
    <s v="HAULER 7X4 TIPPING"/>
    <x v="0"/>
    <d v="2022-03-26T00:00:00"/>
    <n v="107"/>
    <s v="Taranaki"/>
    <s v="New Zealand"/>
    <s v="Trailer"/>
    <s v="Standard"/>
    <m/>
    <m/>
    <m/>
    <n v="1"/>
    <m/>
    <m/>
    <m/>
    <m/>
  </r>
  <r>
    <n v="409"/>
    <s v="Boat Trailer"/>
    <x v="0"/>
    <x v="11"/>
    <s v="RB"/>
    <x v="0"/>
    <d v="2022-03-27T00:00:00"/>
    <n v="106"/>
    <s v="Hawke's Bay"/>
    <s v="New Zealand"/>
    <s v="Trailer"/>
    <s v="Standard"/>
    <m/>
    <m/>
    <m/>
    <n v="1"/>
    <m/>
    <m/>
    <m/>
    <m/>
  </r>
  <r>
    <n v="410"/>
    <s v="Trailer - Heavy"/>
    <x v="0"/>
    <x v="11"/>
    <s v="EXCAVATOR TRAILER"/>
    <x v="0"/>
    <d v="2022-03-28T00:00:00"/>
    <n v="102"/>
    <s v="Auckland"/>
    <s v="New Zealand"/>
    <s v="Trailer"/>
    <s v="Standard"/>
    <m/>
    <m/>
    <m/>
    <n v="3"/>
    <m/>
    <m/>
    <m/>
    <m/>
  </r>
  <r>
    <n v="411"/>
    <s v="Trailer"/>
    <x v="0"/>
    <x v="11"/>
    <s v="FOOD CART"/>
    <x v="0"/>
    <d v="2022-03-28T00:00:00"/>
    <n v="111"/>
    <s v="Nelson"/>
    <s v="New Zealand"/>
    <s v="Trailer"/>
    <s v="Standard"/>
    <m/>
    <m/>
    <m/>
    <n v="3"/>
    <m/>
    <m/>
    <m/>
    <m/>
  </r>
  <r>
    <n v="412"/>
    <s v="Trailer"/>
    <x v="0"/>
    <x v="11"/>
    <s v="VULCAN"/>
    <x v="0"/>
    <d v="2022-03-28T00:00:00"/>
    <n v="102"/>
    <s v="Auckland"/>
    <s v="New Zealand"/>
    <s v="Trailer"/>
    <s v="Standard"/>
    <m/>
    <m/>
    <m/>
    <n v="3"/>
    <m/>
    <m/>
    <m/>
    <m/>
  </r>
  <r>
    <n v="413"/>
    <s v="Trailer"/>
    <x v="8"/>
    <x v="11"/>
    <s v="TRAILER"/>
    <x v="1"/>
    <d v="2022-03-28T00:00:00"/>
    <n v="104"/>
    <s v="Bay of Plenty"/>
    <s v="New Zealand"/>
    <s v="Homebuilt"/>
    <s v="Standard"/>
    <m/>
    <m/>
    <m/>
    <n v="1"/>
    <m/>
    <m/>
    <m/>
    <m/>
  </r>
  <r>
    <n v="414"/>
    <s v="Caravan"/>
    <x v="19"/>
    <x v="8"/>
    <s v="COMPASS OMEGA 534"/>
    <x v="3"/>
    <d v="2022-03-28T00:00:00"/>
    <n v="101"/>
    <s v="Northland"/>
    <s v="New Zealand"/>
    <s v="Caravan"/>
    <s v="Standard"/>
    <m/>
    <m/>
    <m/>
    <n v="1"/>
    <m/>
    <m/>
    <m/>
    <m/>
  </r>
  <r>
    <n v="415"/>
    <s v="Trailer - Heavy"/>
    <x v="0"/>
    <x v="11"/>
    <s v="GT TRAILER"/>
    <x v="0"/>
    <d v="2022-03-29T00:00:00"/>
    <n v="102"/>
    <s v="Auckland"/>
    <s v="New Zealand"/>
    <s v="Trailer"/>
    <s v="Standard"/>
    <m/>
    <m/>
    <m/>
    <n v="2"/>
    <m/>
    <m/>
    <m/>
    <m/>
  </r>
  <r>
    <n v="416"/>
    <s v="Trailer"/>
    <x v="0"/>
    <x v="11"/>
    <s v="ELITE 7X4"/>
    <x v="0"/>
    <d v="2022-03-29T00:00:00"/>
    <n v="114"/>
    <s v="Canterbury"/>
    <s v="New Zealand"/>
    <s v="Trailer"/>
    <s v="Standard"/>
    <m/>
    <m/>
    <m/>
    <n v="2"/>
    <m/>
    <m/>
    <m/>
    <m/>
  </r>
  <r>
    <n v="417"/>
    <s v="Boat Trailer"/>
    <x v="0"/>
    <x v="8"/>
    <s v="VOYAGER A16M"/>
    <x v="0"/>
    <d v="2022-03-30T00:00:00"/>
    <n v="104"/>
    <s v="Bay of Plenty"/>
    <s v="New Zealand"/>
    <s v="Trailer"/>
    <s v="Standard"/>
    <m/>
    <m/>
    <m/>
    <n v="3"/>
    <m/>
    <m/>
    <m/>
    <m/>
  </r>
  <r>
    <n v="418"/>
    <s v="Trailer"/>
    <x v="0"/>
    <x v="4"/>
    <s v="TUFF"/>
    <x v="0"/>
    <d v="2022-03-30T00:00:00"/>
    <n v="108"/>
    <s v="Manawatū-Whanganui"/>
    <s v="New Zealand"/>
    <s v="Trailer"/>
    <s v="Standard"/>
    <m/>
    <m/>
    <m/>
    <n v="3"/>
    <m/>
    <m/>
    <m/>
    <m/>
  </r>
  <r>
    <n v="419"/>
    <s v="Trailer"/>
    <x v="2"/>
    <x v="4"/>
    <s v="8X4"/>
    <x v="0"/>
    <d v="2022-03-30T00:00:00"/>
    <n v="114"/>
    <s v="Canterbury"/>
    <s v="New Zealand"/>
    <s v="Briford"/>
    <s v="Standard"/>
    <m/>
    <m/>
    <m/>
    <n v="1"/>
    <m/>
    <m/>
    <m/>
    <m/>
  </r>
  <r>
    <n v="420"/>
    <s v="Trailer - Heavy"/>
    <x v="8"/>
    <x v="41"/>
    <s v="HOMEMADE"/>
    <x v="5"/>
    <d v="2022-03-30T00:00:00"/>
    <n v="114"/>
    <s v="Canterbury"/>
    <s v="New Zealand"/>
    <s v="Homebuilt"/>
    <s v="Standard"/>
    <m/>
    <m/>
    <m/>
    <n v="1"/>
    <m/>
    <m/>
    <m/>
    <m/>
  </r>
  <r>
    <n v="421"/>
    <s v="Boat Trailer"/>
    <x v="0"/>
    <x v="4"/>
    <s v="WAVERUNNER"/>
    <x v="0"/>
    <d v="2022-03-30T00:00:00"/>
    <n v="114"/>
    <s v="Canterbury"/>
    <s v="New Zealand"/>
    <s v="Trailer"/>
    <s v="Standard"/>
    <m/>
    <m/>
    <m/>
    <n v="3"/>
    <m/>
    <m/>
    <m/>
    <m/>
  </r>
  <r>
    <n v="422"/>
    <s v="Trailer"/>
    <x v="0"/>
    <x v="4"/>
    <s v="TUFF"/>
    <x v="0"/>
    <d v="2022-03-31T00:00:00"/>
    <n v="109"/>
    <s v="Wellington"/>
    <s v="New Zealand"/>
    <s v="Trailer"/>
    <s v="Standard"/>
    <m/>
    <m/>
    <m/>
    <n v="3"/>
    <m/>
    <m/>
    <m/>
    <m/>
  </r>
  <r>
    <n v="423"/>
    <s v="Trailer"/>
    <x v="0"/>
    <x v="4"/>
    <s v="TUFF"/>
    <x v="0"/>
    <d v="2022-03-31T00:00:00"/>
    <n v="104"/>
    <s v="Bay of Plenty"/>
    <s v="New Zealand"/>
    <s v="Trailer"/>
    <s v="Standard"/>
    <m/>
    <m/>
    <m/>
    <n v="3"/>
    <m/>
    <m/>
    <m/>
    <m/>
  </r>
  <r>
    <n v="424"/>
    <s v="Trailer"/>
    <x v="0"/>
    <x v="4"/>
    <s v="TRAYLA"/>
    <x v="0"/>
    <d v="2022-03-31T00:00:00"/>
    <n v="103"/>
    <s v="Waikato"/>
    <s v="New Zealand"/>
    <s v="Trailer"/>
    <s v="Standard"/>
    <m/>
    <m/>
    <m/>
    <n v="3"/>
    <m/>
    <m/>
    <m/>
    <m/>
  </r>
  <r>
    <n v="425"/>
    <s v="Trailer"/>
    <x v="28"/>
    <x v="4"/>
    <s v="KC95"/>
    <x v="0"/>
    <d v="2022-03-31T00:00:00"/>
    <n v="103"/>
    <s v="Waikato"/>
    <s v="New Zealand"/>
    <s v="Kea"/>
    <s v="Standard"/>
    <m/>
    <m/>
    <m/>
    <n v="1"/>
    <m/>
    <m/>
    <m/>
    <m/>
  </r>
  <r>
    <n v="426"/>
    <s v="Caravan"/>
    <x v="19"/>
    <x v="42"/>
    <s v="LUNAR"/>
    <x v="3"/>
    <d v="2022-03-31T00:00:00"/>
    <n v="114"/>
    <s v="Canterbury"/>
    <s v="New Zealand"/>
    <s v="Caravan"/>
    <s v="Standard"/>
    <m/>
    <m/>
    <m/>
    <n v="1"/>
    <m/>
    <m/>
    <m/>
    <m/>
  </r>
  <r>
    <n v="427"/>
    <s v="Saloon"/>
    <x v="15"/>
    <x v="7"/>
    <s v="730I"/>
    <x v="3"/>
    <d v="2022-04-01T00:00:00"/>
    <n v="102"/>
    <s v="Auckland"/>
    <s v="New Zealand"/>
    <s v="BMW"/>
    <s v="Luxury"/>
    <m/>
    <m/>
    <m/>
    <n v="1"/>
    <m/>
    <m/>
    <m/>
    <m/>
  </r>
  <r>
    <n v="428"/>
    <s v="Boat Trailer"/>
    <x v="0"/>
    <x v="28"/>
    <s v="BOAT TRAILER"/>
    <x v="4"/>
    <d v="2022-04-01T00:00:00"/>
    <n v="104"/>
    <s v="Bay of Plenty"/>
    <s v="New Zealand"/>
    <s v="Trailer"/>
    <s v="Standard"/>
    <m/>
    <m/>
    <m/>
    <n v="2"/>
    <m/>
    <m/>
    <m/>
    <m/>
  </r>
  <r>
    <n v="429"/>
    <s v="Caravan"/>
    <x v="19"/>
    <x v="47"/>
    <s v="SWIFT CHALLENGER 570"/>
    <x v="3"/>
    <d v="2022-04-01T00:00:00"/>
    <n v="114"/>
    <s v="Canterbury"/>
    <s v="New Zealand"/>
    <s v="Caravan"/>
    <s v="Standard"/>
    <m/>
    <m/>
    <m/>
    <n v="1"/>
    <m/>
    <m/>
    <m/>
    <m/>
  </r>
  <r>
    <n v="430"/>
    <s v="Trailer"/>
    <x v="0"/>
    <x v="39"/>
    <s v="OLEARY"/>
    <x v="6"/>
    <d v="2022-04-01T00:00:00"/>
    <n v="109"/>
    <s v="Wellington"/>
    <s v="New Zealand"/>
    <s v="Trailer"/>
    <s v="Standard"/>
    <m/>
    <m/>
    <m/>
    <n v="2"/>
    <m/>
    <m/>
    <m/>
    <m/>
  </r>
  <r>
    <n v="431"/>
    <s v="Caravan"/>
    <x v="47"/>
    <x v="2"/>
    <s v="ECCLES"/>
    <x v="3"/>
    <d v="2022-04-01T00:00:00"/>
    <n v="102"/>
    <s v="Auckland"/>
    <s v="New Zealand"/>
    <s v="Sterling"/>
    <s v="Standard"/>
    <m/>
    <m/>
    <m/>
    <n v="1"/>
    <m/>
    <m/>
    <m/>
    <m/>
  </r>
  <r>
    <n v="432"/>
    <s v="Roadbike"/>
    <x v="1"/>
    <x v="5"/>
    <s v="FZS"/>
    <x v="0"/>
    <d v="2022-04-02T00:00:00"/>
    <n v="114"/>
    <s v="Canterbury"/>
    <s v="New Zealand"/>
    <s v="Yamaha"/>
    <s v="Standard"/>
    <m/>
    <m/>
    <m/>
    <n v="1"/>
    <m/>
    <m/>
    <m/>
    <m/>
  </r>
  <r>
    <n v="433"/>
    <s v="Trailer"/>
    <x v="0"/>
    <x v="38"/>
    <s v="DOMESTIC TRAILER"/>
    <x v="6"/>
    <d v="2022-04-02T00:00:00"/>
    <n v="102"/>
    <s v="Auckland"/>
    <s v="New Zealand"/>
    <s v="Trailer"/>
    <s v="Standard"/>
    <m/>
    <m/>
    <m/>
    <n v="1"/>
    <m/>
    <m/>
    <m/>
    <m/>
  </r>
  <r>
    <n v="434"/>
    <s v="Roadbike"/>
    <x v="48"/>
    <x v="6"/>
    <s v="8-BALL"/>
    <x v="1"/>
    <d v="2022-04-02T00:00:00"/>
    <n v="111"/>
    <s v="Nelson"/>
    <s v="New Zealand"/>
    <s v="Victory"/>
    <s v="Standard"/>
    <m/>
    <m/>
    <m/>
    <n v="1"/>
    <m/>
    <m/>
    <m/>
    <m/>
  </r>
  <r>
    <n v="435"/>
    <s v="Moped"/>
    <x v="22"/>
    <x v="18"/>
    <s v="FACTORY BUILT"/>
    <x v="11"/>
    <d v="2022-04-03T00:00:00"/>
    <n v="109"/>
    <s v="Wellington"/>
    <s v="New Zealand"/>
    <s v="Moped"/>
    <s v="Standard"/>
    <m/>
    <m/>
    <m/>
    <n v="1"/>
    <m/>
    <m/>
    <m/>
    <m/>
  </r>
  <r>
    <n v="436"/>
    <s v="Trailer"/>
    <x v="2"/>
    <x v="15"/>
    <s v="7X4"/>
    <x v="0"/>
    <d v="2022-04-03T00:00:00"/>
    <n v="114"/>
    <s v="Canterbury"/>
    <s v="New Zealand"/>
    <s v="Briford"/>
    <s v="Standard"/>
    <m/>
    <m/>
    <m/>
    <n v="1"/>
    <m/>
    <m/>
    <m/>
    <m/>
  </r>
  <r>
    <n v="437"/>
    <s v="Trailer"/>
    <x v="0"/>
    <x v="30"/>
    <s v="LOCAL"/>
    <x v="7"/>
    <d v="2022-04-03T00:00:00"/>
    <n v="103"/>
    <s v="Waikato"/>
    <s v="New Zealand"/>
    <s v="Trailer"/>
    <s v="Standard"/>
    <m/>
    <m/>
    <m/>
    <n v="1"/>
    <m/>
    <m/>
    <m/>
    <m/>
  </r>
  <r>
    <n v="438"/>
    <s v="Trailer"/>
    <x v="49"/>
    <x v="4"/>
    <s v="ELITE 8X4"/>
    <x v="0"/>
    <d v="2022-04-03T00:00:00"/>
    <n v="111"/>
    <s v="Nelson"/>
    <s v="New Zealand"/>
    <s v="Trike"/>
    <s v="Standard"/>
    <m/>
    <m/>
    <m/>
    <n v="1"/>
    <m/>
    <m/>
    <m/>
    <m/>
  </r>
  <r>
    <n v="439"/>
    <s v="Trailer"/>
    <x v="0"/>
    <x v="4"/>
    <s v="DOMESTIC TRAILER"/>
    <x v="0"/>
    <d v="2022-04-04T00:00:00"/>
    <n v="104"/>
    <s v="Bay of Plenty"/>
    <s v="New Zealand"/>
    <s v="Trailer"/>
    <s v="Standard"/>
    <m/>
    <m/>
    <m/>
    <n v="2"/>
    <m/>
    <m/>
    <m/>
    <m/>
  </r>
  <r>
    <n v="440"/>
    <s v="Trailer"/>
    <x v="0"/>
    <x v="4"/>
    <s v="D-MAX FLATDECK"/>
    <x v="0"/>
    <d v="2022-04-04T00:00:00"/>
    <n v="109"/>
    <s v="Wellington"/>
    <s v="New Zealand"/>
    <s v="Trailer"/>
    <s v="Standard"/>
    <m/>
    <m/>
    <m/>
    <n v="2"/>
    <m/>
    <m/>
    <m/>
    <m/>
  </r>
  <r>
    <n v="441"/>
    <s v="Roadbike"/>
    <x v="5"/>
    <x v="13"/>
    <s v="MAGNA"/>
    <x v="0"/>
    <d v="2022-04-04T00:00:00"/>
    <n v="102"/>
    <s v="Auckland"/>
    <s v="New Zealand"/>
    <s v="Honda"/>
    <s v="Standard"/>
    <m/>
    <m/>
    <m/>
    <n v="1"/>
    <m/>
    <m/>
    <m/>
    <m/>
  </r>
  <r>
    <n v="442"/>
    <s v="Trailer"/>
    <x v="28"/>
    <x v="9"/>
    <s v="KC846"/>
    <x v="0"/>
    <d v="2022-05-01T00:00:00"/>
    <n v="103"/>
    <s v="Waikato"/>
    <s v="New Zealand"/>
    <s v="Kea"/>
    <s v="Standard"/>
    <m/>
    <m/>
    <m/>
    <n v="1"/>
    <m/>
    <m/>
    <m/>
    <m/>
  </r>
  <r>
    <n v="443"/>
    <s v="Trailer"/>
    <x v="0"/>
    <x v="34"/>
    <s v="LOCAL"/>
    <x v="2"/>
    <d v="2022-05-01T00:00:00"/>
    <n v="108"/>
    <s v="Manawatū-Whanganui"/>
    <s v="New Zealand"/>
    <s v="Trailer"/>
    <s v="Standard"/>
    <m/>
    <m/>
    <m/>
    <n v="1"/>
    <m/>
    <m/>
    <m/>
    <m/>
  </r>
  <r>
    <n v="444"/>
    <s v="Trailer"/>
    <x v="8"/>
    <x v="52"/>
    <s v="TANDEM TRAILER"/>
    <x v="3"/>
    <d v="2022-05-01T00:00:00"/>
    <n v="114"/>
    <s v="Canterbury"/>
    <s v="New Zealand"/>
    <s v="Homebuilt"/>
    <s v="Standard"/>
    <m/>
    <m/>
    <m/>
    <n v="1"/>
    <m/>
    <m/>
    <m/>
    <m/>
  </r>
  <r>
    <n v="445"/>
    <s v="Trailer"/>
    <x v="0"/>
    <x v="4"/>
    <s v="HOMEBUILT"/>
    <x v="0"/>
    <d v="2022-05-02T00:00:00"/>
    <n v="101"/>
    <s v="Northland"/>
    <s v="New Zealand"/>
    <s v="Trailer"/>
    <s v="Standard"/>
    <m/>
    <m/>
    <m/>
    <n v="1"/>
    <m/>
    <m/>
    <m/>
    <m/>
  </r>
  <r>
    <n v="446"/>
    <s v="Trailer"/>
    <x v="0"/>
    <x v="4"/>
    <s v="ELITE"/>
    <x v="0"/>
    <d v="2022-05-03T00:00:00"/>
    <n v="114"/>
    <s v="Canterbury"/>
    <s v="New Zealand"/>
    <s v="Trailer"/>
    <s v="Standard"/>
    <m/>
    <m/>
    <m/>
    <n v="1"/>
    <m/>
    <m/>
    <m/>
    <m/>
  </r>
  <r>
    <n v="447"/>
    <s v="Roadbike"/>
    <x v="34"/>
    <x v="16"/>
    <s v="VESPA"/>
    <x v="4"/>
    <d v="2022-05-03T00:00:00"/>
    <n v="102"/>
    <s v="Auckland"/>
    <s v="New Zealand"/>
    <s v="Piaggio"/>
    <s v="Standard"/>
    <m/>
    <m/>
    <m/>
    <n v="1"/>
    <m/>
    <m/>
    <m/>
    <m/>
  </r>
  <r>
    <n v="448"/>
    <s v="Boat Trailer"/>
    <x v="0"/>
    <x v="4"/>
    <s v="CRUISER"/>
    <x v="0"/>
    <d v="2022-05-04T00:00:00"/>
    <n v="102"/>
    <s v="Auckland"/>
    <s v="New Zealand"/>
    <s v="Trailer"/>
    <s v="Standard"/>
    <m/>
    <m/>
    <m/>
    <n v="2"/>
    <m/>
    <m/>
    <m/>
    <m/>
  </r>
  <r>
    <n v="449"/>
    <s v="Trailer"/>
    <x v="33"/>
    <x v="4"/>
    <s v="TRAILER"/>
    <x v="0"/>
    <d v="2022-05-04T00:00:00"/>
    <n v="114"/>
    <s v="Canterbury"/>
    <s v="New Zealand"/>
    <s v="Lochiel"/>
    <s v="Standard"/>
    <m/>
    <m/>
    <m/>
    <n v="1"/>
    <m/>
    <m/>
    <m/>
    <m/>
  </r>
  <r>
    <n v="450"/>
    <s v="Trailer"/>
    <x v="0"/>
    <x v="53"/>
    <s v="CUSTOMS BUIL"/>
    <x v="9"/>
    <d v="2022-05-04T00:00:00"/>
    <n v="101"/>
    <s v="Northland"/>
    <s v="New Zealand"/>
    <s v="Trailer"/>
    <s v="Standard"/>
    <m/>
    <m/>
    <m/>
    <n v="2"/>
    <m/>
    <m/>
    <m/>
    <m/>
  </r>
  <r>
    <n v="451"/>
    <s v="Trailer"/>
    <x v="2"/>
    <x v="4"/>
    <s v="8X5"/>
    <x v="0"/>
    <d v="2022-05-04T00:00:00"/>
    <n v="115"/>
    <s v="Otago"/>
    <s v="New Zealand"/>
    <s v="Briford"/>
    <s v="Standard"/>
    <m/>
    <m/>
    <m/>
    <n v="2"/>
    <m/>
    <m/>
    <m/>
    <m/>
  </r>
  <r>
    <n v="452"/>
    <s v="Trailer"/>
    <x v="2"/>
    <x v="10"/>
    <s v="8X4 TANDEM"/>
    <x v="0"/>
    <d v="2022-05-04T00:00:00"/>
    <n v="114"/>
    <s v="Canterbury"/>
    <s v="New Zealand"/>
    <s v="Briford"/>
    <s v="Standard"/>
    <m/>
    <m/>
    <m/>
    <n v="2"/>
    <m/>
    <m/>
    <m/>
    <m/>
  </r>
  <r>
    <n v="453"/>
    <s v="Roadbike"/>
    <x v="6"/>
    <x v="5"/>
    <s v="SJ125"/>
    <x v="7"/>
    <d v="2022-06-01T00:00:00"/>
    <n v="114"/>
    <s v="Canterbury"/>
    <s v="New Zealand"/>
    <s v="Suzuki"/>
    <s v="Standard"/>
    <m/>
    <m/>
    <m/>
    <n v="1"/>
    <m/>
    <m/>
    <m/>
    <m/>
  </r>
  <r>
    <n v="454"/>
    <s v="Moped"/>
    <x v="1"/>
    <x v="15"/>
    <s v="JOG"/>
    <x v="1"/>
    <d v="2022-06-01T00:00:00"/>
    <n v="107"/>
    <s v="Taranaki"/>
    <s v="New Zealand"/>
    <s v="Yamaha"/>
    <s v="Standard"/>
    <m/>
    <m/>
    <m/>
    <n v="1"/>
    <m/>
    <m/>
    <m/>
    <m/>
  </r>
  <r>
    <n v="455"/>
    <s v="Trailer - Heavy"/>
    <x v="0"/>
    <x v="12"/>
    <s v="GT PRODUCTS"/>
    <x v="4"/>
    <d v="2022-06-01T00:00:00"/>
    <n v="102"/>
    <s v="Auckland"/>
    <s v="New Zealand"/>
    <s v="Trailer"/>
    <s v="Standard"/>
    <m/>
    <m/>
    <m/>
    <n v="2"/>
    <m/>
    <m/>
    <m/>
    <m/>
  </r>
  <r>
    <n v="456"/>
    <s v="Caravan"/>
    <x v="19"/>
    <x v="27"/>
    <s v="CI MUNRO"/>
    <x v="3"/>
    <d v="2022-06-01T00:00:00"/>
    <n v="102"/>
    <s v="Auckland"/>
    <s v="New Zealand"/>
    <s v="Caravan"/>
    <s v="Standard"/>
    <m/>
    <m/>
    <m/>
    <n v="1"/>
    <m/>
    <m/>
    <m/>
    <m/>
  </r>
  <r>
    <n v="457"/>
    <s v="Trailer"/>
    <x v="0"/>
    <x v="4"/>
    <s v="TRAYLA"/>
    <x v="0"/>
    <d v="2022-06-01T00:00:00"/>
    <n v="104"/>
    <s v="Bay of Plenty"/>
    <s v="New Zealand"/>
    <s v="Trailer"/>
    <s v="Standard"/>
    <m/>
    <m/>
    <m/>
    <n v="2"/>
    <m/>
    <m/>
    <m/>
    <m/>
  </r>
  <r>
    <n v="458"/>
    <s v="Boat Trailer"/>
    <x v="0"/>
    <x v="4"/>
    <s v="ASD JET SKI"/>
    <x v="0"/>
    <d v="2022-06-02T00:00:00"/>
    <n v="104"/>
    <s v="Bay of Plenty"/>
    <s v="New Zealand"/>
    <s v="Trailer"/>
    <s v="Standard"/>
    <m/>
    <m/>
    <m/>
    <n v="1"/>
    <m/>
    <m/>
    <m/>
    <m/>
  </r>
  <r>
    <n v="459"/>
    <s v="Roadbike"/>
    <x v="1"/>
    <x v="3"/>
    <s v="XV250SL"/>
    <x v="7"/>
    <d v="2022-06-02T00:00:00"/>
    <n v="102"/>
    <s v="Auckland"/>
    <s v="New Zealand"/>
    <s v="Yamaha"/>
    <s v="Standard"/>
    <m/>
    <m/>
    <m/>
    <n v="1"/>
    <m/>
    <m/>
    <m/>
    <m/>
  </r>
  <r>
    <n v="460"/>
    <s v="Trailer"/>
    <x v="0"/>
    <x v="15"/>
    <s v="LIGHT"/>
    <x v="0"/>
    <d v="2022-06-03T00:00:00"/>
    <n v="104"/>
    <s v="Bay of Plenty"/>
    <s v="New Zealand"/>
    <s v="Trailer"/>
    <s v="Standard"/>
    <m/>
    <m/>
    <m/>
    <n v="2"/>
    <m/>
    <m/>
    <m/>
    <m/>
  </r>
  <r>
    <n v="461"/>
    <s v="Boat Trailer"/>
    <x v="0"/>
    <x v="4"/>
    <s v="MAKZ"/>
    <x v="0"/>
    <d v="2022-06-03T00:00:00"/>
    <n v="109"/>
    <s v="Wellington"/>
    <s v="New Zealand"/>
    <s v="Trailer"/>
    <s v="Standard"/>
    <m/>
    <m/>
    <m/>
    <n v="2"/>
    <m/>
    <m/>
    <m/>
    <m/>
  </r>
  <r>
    <n v="462"/>
    <s v="Trailer"/>
    <x v="0"/>
    <x v="4"/>
    <s v="ENSOL TANKER"/>
    <x v="0"/>
    <d v="2022-07-01T00:00:00"/>
    <n v="109"/>
    <s v="Wellington"/>
    <s v="New Zealand"/>
    <s v="Trailer"/>
    <s v="Standard"/>
    <m/>
    <m/>
    <m/>
    <n v="2"/>
    <m/>
    <m/>
    <m/>
    <m/>
  </r>
  <r>
    <n v="463"/>
    <s v="Trailer"/>
    <x v="0"/>
    <x v="0"/>
    <s v="HOMEMADE"/>
    <x v="0"/>
    <d v="2022-07-01T00:00:00"/>
    <n v="115"/>
    <s v="Otago"/>
    <s v="New Zealand"/>
    <s v="Trailer"/>
    <s v="Standard"/>
    <m/>
    <m/>
    <m/>
    <n v="2"/>
    <m/>
    <m/>
    <m/>
    <m/>
  </r>
  <r>
    <n v="464"/>
    <s v="Trailer"/>
    <x v="8"/>
    <x v="0"/>
    <s v="TRAILER"/>
    <x v="1"/>
    <d v="2022-07-03T00:00:00"/>
    <n v="101"/>
    <s v="Northland"/>
    <s v="New Zealand"/>
    <s v="Homebuilt"/>
    <s v="Standard"/>
    <m/>
    <m/>
    <m/>
    <n v="1"/>
    <m/>
    <m/>
    <m/>
    <m/>
  </r>
  <r>
    <n v="465"/>
    <s v="Trailer"/>
    <x v="0"/>
    <x v="29"/>
    <s v="DOMESTIC"/>
    <x v="4"/>
    <d v="2022-07-03T00:00:00"/>
    <n v="103"/>
    <s v="Waikato"/>
    <s v="New Zealand"/>
    <s v="Trailer"/>
    <s v="Standard"/>
    <m/>
    <m/>
    <m/>
    <n v="1"/>
    <m/>
    <m/>
    <m/>
    <m/>
  </r>
  <r>
    <n v="466"/>
    <s v="Roadbike"/>
    <x v="39"/>
    <x v="18"/>
    <s v="SXV"/>
    <x v="1"/>
    <d v="2022-07-03T00:00:00"/>
    <n v="114"/>
    <s v="Canterbury"/>
    <s v="New Zealand"/>
    <s v="Aprilia"/>
    <s v="Standard"/>
    <m/>
    <m/>
    <m/>
    <n v="1"/>
    <m/>
    <m/>
    <m/>
    <m/>
  </r>
  <r>
    <n v="467"/>
    <s v="Roadbike"/>
    <x v="5"/>
    <x v="42"/>
    <s v="CB"/>
    <x v="0"/>
    <d v="2022-07-03T00:00:00"/>
    <n v="114"/>
    <s v="Canterbury"/>
    <s v="New Zealand"/>
    <s v="Honda"/>
    <s v="Standard"/>
    <m/>
    <m/>
    <m/>
    <n v="1"/>
    <m/>
    <m/>
    <m/>
    <m/>
  </r>
  <r>
    <n v="468"/>
    <s v="Trailer - Heavy"/>
    <x v="50"/>
    <x v="11"/>
    <s v="STARCRAFT"/>
    <x v="3"/>
    <d v="2022-08-01T00:00:00"/>
    <n v="102"/>
    <s v="Auckland"/>
    <s v="New Zealand"/>
    <s v="Jayco"/>
    <s v="Standard"/>
    <m/>
    <m/>
    <m/>
    <n v="1"/>
    <m/>
    <m/>
    <m/>
    <m/>
  </r>
  <r>
    <n v="469"/>
    <s v="Trailer"/>
    <x v="0"/>
    <x v="11"/>
    <s v="BES1500"/>
    <x v="0"/>
    <d v="2022-08-02T00:00:00"/>
    <n v="102"/>
    <s v="Auckland"/>
    <s v="New Zealand"/>
    <s v="Trailer"/>
    <s v="Standard"/>
    <m/>
    <m/>
    <m/>
    <n v="2"/>
    <m/>
    <m/>
    <m/>
    <m/>
  </r>
  <r>
    <n v="470"/>
    <s v="Trailer"/>
    <x v="0"/>
    <x v="11"/>
    <s v="PL27084 ACCESS"/>
    <x v="0"/>
    <d v="2022-08-02T00:00:00"/>
    <n v="102"/>
    <s v="Auckland"/>
    <s v="New Zealand"/>
    <s v="Trailer"/>
    <s v="Standard"/>
    <m/>
    <m/>
    <m/>
    <n v="2"/>
    <m/>
    <m/>
    <m/>
    <m/>
  </r>
  <r>
    <n v="471"/>
    <s v="Trailer"/>
    <x v="2"/>
    <x v="11"/>
    <s v="TRAILER 8X4"/>
    <x v="0"/>
    <d v="2022-08-03T00:00:00"/>
    <n v="103"/>
    <s v="Waikato"/>
    <s v="New Zealand"/>
    <s v="Briford"/>
    <s v="Standard"/>
    <m/>
    <m/>
    <m/>
    <n v="2"/>
    <m/>
    <m/>
    <m/>
    <m/>
  </r>
  <r>
    <n v="472"/>
    <s v="Trailer"/>
    <x v="0"/>
    <x v="11"/>
    <s v="TRANSPORT MGE"/>
    <x v="0"/>
    <d v="2022-08-03T00:00:00"/>
    <n v="103"/>
    <s v="Waikato"/>
    <s v="New Zealand"/>
    <s v="Trailer"/>
    <s v="Standard"/>
    <m/>
    <m/>
    <m/>
    <n v="3"/>
    <m/>
    <m/>
    <m/>
    <m/>
  </r>
  <r>
    <n v="473"/>
    <s v="Trailer"/>
    <x v="0"/>
    <x v="11"/>
    <s v="TUI"/>
    <x v="0"/>
    <d v="2022-08-03T00:00:00"/>
    <n v="107"/>
    <s v="Taranaki"/>
    <s v="New Zealand"/>
    <s v="Trailer"/>
    <s v="Standard"/>
    <m/>
    <m/>
    <m/>
    <n v="3"/>
    <m/>
    <m/>
    <m/>
    <m/>
  </r>
  <r>
    <n v="474"/>
    <s v="Trailer"/>
    <x v="2"/>
    <x v="11"/>
    <s v="8X4"/>
    <x v="0"/>
    <d v="2022-08-03T00:00:00"/>
    <n v="115"/>
    <s v="Otago"/>
    <s v="New Zealand"/>
    <s v="Briford"/>
    <s v="Standard"/>
    <m/>
    <m/>
    <m/>
    <n v="2"/>
    <m/>
    <m/>
    <m/>
    <m/>
  </r>
  <r>
    <n v="475"/>
    <s v="Trailer"/>
    <x v="8"/>
    <x v="40"/>
    <s v="TRAILER"/>
    <x v="3"/>
    <d v="2022-08-03T00:00:00"/>
    <n v="104"/>
    <s v="Bay of Plenty"/>
    <s v="New Zealand"/>
    <s v="Homebuilt"/>
    <s v="Standard"/>
    <m/>
    <m/>
    <m/>
    <n v="1"/>
    <m/>
    <m/>
    <m/>
    <m/>
  </r>
  <r>
    <n v="476"/>
    <s v="Trailer"/>
    <x v="0"/>
    <x v="11"/>
    <s v="VULCAN C8X5T"/>
    <x v="0"/>
    <d v="2022-08-03T00:00:00"/>
    <n v="102"/>
    <s v="Auckland"/>
    <s v="New Zealand"/>
    <s v="Trailer"/>
    <s v="Standard"/>
    <m/>
    <m/>
    <m/>
    <n v="3"/>
    <m/>
    <m/>
    <m/>
    <m/>
  </r>
  <r>
    <n v="477"/>
    <s v="Trailer"/>
    <x v="0"/>
    <x v="11"/>
    <s v="TOP GEAR"/>
    <x v="1"/>
    <d v="2022-09-01T00:00:00"/>
    <n v="102"/>
    <s v="Auckland"/>
    <s v="New Zealand"/>
    <s v="Trailer"/>
    <s v="Standard"/>
    <m/>
    <m/>
    <m/>
    <n v="2"/>
    <m/>
    <m/>
    <m/>
    <m/>
  </r>
  <r>
    <n v="478"/>
    <s v="Trailer"/>
    <x v="28"/>
    <x v="11"/>
    <s v="K844T"/>
    <x v="0"/>
    <d v="2022-09-01T00:00:00"/>
    <n v="114"/>
    <s v="Canterbury"/>
    <s v="New Zealand"/>
    <s v="Kea"/>
    <s v="Standard"/>
    <m/>
    <m/>
    <m/>
    <n v="1"/>
    <m/>
    <m/>
    <m/>
    <m/>
  </r>
  <r>
    <n v="479"/>
    <s v="Trailer"/>
    <x v="0"/>
    <x v="11"/>
    <s v="EASY TILI"/>
    <x v="0"/>
    <d v="2022-09-01T00:00:00"/>
    <n v="103"/>
    <s v="Waikato"/>
    <s v="New Zealand"/>
    <s v="Trailer"/>
    <s v="Standard"/>
    <m/>
    <m/>
    <m/>
    <n v="2"/>
    <m/>
    <m/>
    <m/>
    <m/>
  </r>
  <r>
    <n v="480"/>
    <s v="Boat Trailer"/>
    <x v="0"/>
    <x v="11"/>
    <s v="HOMEBUILT"/>
    <x v="0"/>
    <d v="2022-09-02T00:00:00"/>
    <n v="114"/>
    <s v="Canterbury"/>
    <s v="New Zealand"/>
    <s v="Trailer"/>
    <s v="Standard"/>
    <m/>
    <m/>
    <m/>
    <n v="1"/>
    <m/>
    <m/>
    <m/>
    <m/>
  </r>
  <r>
    <n v="481"/>
    <s v="Trailer"/>
    <x v="0"/>
    <x v="18"/>
    <s v="BUNNINGS"/>
    <x v="0"/>
    <d v="2022-09-03T00:00:00"/>
    <n v="108"/>
    <s v="Manawatū-Whanganui"/>
    <s v="New Zealand"/>
    <s v="Trailer"/>
    <s v="Standard"/>
    <m/>
    <m/>
    <m/>
    <n v="3"/>
    <m/>
    <m/>
    <m/>
    <m/>
  </r>
  <r>
    <n v="482"/>
    <s v="Boat Trailer"/>
    <x v="1"/>
    <x v="11"/>
    <s v="RED RUNNER H/B"/>
    <x v="0"/>
    <d v="2022-09-03T00:00:00"/>
    <n v="102"/>
    <s v="Auckland"/>
    <s v="New Zealand"/>
    <s v="Yamaha"/>
    <s v="Standard"/>
    <m/>
    <m/>
    <m/>
    <n v="1"/>
    <m/>
    <m/>
    <m/>
    <m/>
  </r>
  <r>
    <n v="483"/>
    <s v="Trailer"/>
    <x v="0"/>
    <x v="11"/>
    <s v="TRAILER PRO"/>
    <x v="0"/>
    <d v="2022-09-03T00:00:00"/>
    <n v="102"/>
    <s v="Auckland"/>
    <s v="New Zealand"/>
    <s v="Trailer"/>
    <s v="Standard"/>
    <m/>
    <m/>
    <m/>
    <n v="3"/>
    <m/>
    <m/>
    <m/>
    <m/>
  </r>
  <r>
    <n v="484"/>
    <s v="Trailer"/>
    <x v="0"/>
    <x v="11"/>
    <s v="HOMEBUILT"/>
    <x v="0"/>
    <d v="2022-09-03T00:00:00"/>
    <n v="114"/>
    <s v="Canterbury"/>
    <s v="New Zealand"/>
    <s v="Trailer"/>
    <s v="Standard"/>
    <m/>
    <m/>
    <m/>
    <n v="3"/>
    <m/>
    <m/>
    <m/>
    <m/>
  </r>
  <r>
    <n v="485"/>
    <s v="Trailer"/>
    <x v="28"/>
    <x v="18"/>
    <s v="844X"/>
    <x v="0"/>
    <d v="2022-10-01T00:00:00"/>
    <n v="108"/>
    <s v="Manawatū-Whanganui"/>
    <s v="New Zealand"/>
    <s v="Kea"/>
    <s v="Standard"/>
    <m/>
    <m/>
    <m/>
    <n v="1"/>
    <m/>
    <m/>
    <m/>
    <m/>
  </r>
  <r>
    <n v="486"/>
    <s v="Trailer"/>
    <x v="0"/>
    <x v="11"/>
    <s v="IFOR WILLIAMS"/>
    <x v="0"/>
    <d v="2022-10-01T00:00:00"/>
    <n v="102"/>
    <s v="Auckland"/>
    <s v="New Zealand"/>
    <s v="Trailer"/>
    <s v="Standard"/>
    <m/>
    <m/>
    <m/>
    <n v="2"/>
    <m/>
    <m/>
    <m/>
    <m/>
  </r>
  <r>
    <n v="487"/>
    <s v="Trailer"/>
    <x v="0"/>
    <x v="42"/>
    <s v="DOMESTIC TRAILER"/>
    <x v="0"/>
    <d v="2022-10-01T00:00:00"/>
    <n v="103"/>
    <s v="Waikato"/>
    <s v="New Zealand"/>
    <s v="Trailer"/>
    <s v="Standard"/>
    <m/>
    <m/>
    <m/>
    <n v="2"/>
    <m/>
    <m/>
    <m/>
    <m/>
  </r>
  <r>
    <n v="488"/>
    <s v="Trailer"/>
    <x v="0"/>
    <x v="4"/>
    <s v="TUFF"/>
    <x v="0"/>
    <d v="2022-10-02T00:00:00"/>
    <n v="104"/>
    <s v="Bay of Plenty"/>
    <s v="New Zealand"/>
    <s v="Trailer"/>
    <s v="Standard"/>
    <m/>
    <m/>
    <m/>
    <n v="2"/>
    <m/>
    <m/>
    <m/>
    <m/>
  </r>
  <r>
    <n v="489"/>
    <s v="Boat Trailer"/>
    <x v="0"/>
    <x v="4"/>
    <s v="WAVERUNNER"/>
    <x v="4"/>
    <d v="2022-10-02T00:00:00"/>
    <n v="114"/>
    <s v="Canterbury"/>
    <s v="New Zealand"/>
    <s v="Trailer"/>
    <s v="Standard"/>
    <m/>
    <m/>
    <m/>
    <n v="2"/>
    <m/>
    <m/>
    <m/>
    <m/>
  </r>
  <r>
    <n v="490"/>
    <s v="Trailer"/>
    <x v="51"/>
    <x v="18"/>
    <s v="TRAILER"/>
    <x v="0"/>
    <d v="2022-10-02T00:00:00"/>
    <n v="102"/>
    <s v="Auckland"/>
    <s v="New Zealand"/>
    <s v="Mono - Way"/>
    <s v="Standard"/>
    <m/>
    <m/>
    <m/>
    <n v="1"/>
    <m/>
    <m/>
    <m/>
    <m/>
  </r>
  <r>
    <n v="491"/>
    <s v="Roadbike"/>
    <x v="5"/>
    <x v="25"/>
    <s v="CX"/>
    <x v="3"/>
    <d v="2022-10-03T00:00:00"/>
    <n v="102"/>
    <s v="Auckland"/>
    <s v="New Zealand"/>
    <s v="Honda"/>
    <s v="Standard"/>
    <m/>
    <m/>
    <m/>
    <n v="1"/>
    <m/>
    <m/>
    <m/>
    <m/>
  </r>
  <r>
    <n v="492"/>
    <s v="Roadbike"/>
    <x v="6"/>
    <x v="2"/>
    <s v="GN250"/>
    <x v="2"/>
    <d v="2022-10-03T00:00:00"/>
    <n v="102"/>
    <s v="Auckland"/>
    <s v="New Zealand"/>
    <s v="Suzuki"/>
    <s v="Standard"/>
    <m/>
    <m/>
    <m/>
    <n v="1"/>
    <m/>
    <m/>
    <m/>
    <m/>
  </r>
  <r>
    <n v="493"/>
    <s v="Boat Trailer"/>
    <x v="0"/>
    <x v="23"/>
    <s v="BOAT TRAILER"/>
    <x v="3"/>
    <d v="2022-10-03T00:00:00"/>
    <n v="102"/>
    <s v="Auckland"/>
    <s v="New Zealand"/>
    <s v="Trailer"/>
    <s v="Standard"/>
    <m/>
    <m/>
    <m/>
    <n v="3"/>
    <m/>
    <m/>
    <m/>
    <m/>
  </r>
  <r>
    <n v="494"/>
    <s v="Trailer"/>
    <x v="0"/>
    <x v="0"/>
    <s v="BOX"/>
    <x v="3"/>
    <d v="2022-10-03T00:00:00"/>
    <n v="106"/>
    <s v="Hawke's Bay"/>
    <s v="New Zealand"/>
    <s v="Trailer"/>
    <s v="Standard"/>
    <m/>
    <m/>
    <m/>
    <n v="3"/>
    <m/>
    <m/>
    <m/>
    <m/>
  </r>
  <r>
    <n v="495"/>
    <s v="Trailer"/>
    <x v="0"/>
    <x v="0"/>
    <s v="CAR TRANSPORTER"/>
    <x v="4"/>
    <d v="2022-10-03T00:00:00"/>
    <n v="102"/>
    <s v="Auckland"/>
    <s v="New Zealand"/>
    <s v="Trailer"/>
    <s v="Standard"/>
    <m/>
    <m/>
    <m/>
    <n v="3"/>
    <m/>
    <m/>
    <m/>
    <m/>
  </r>
  <r>
    <n v="496"/>
    <s v="Moped"/>
    <x v="22"/>
    <x v="2"/>
    <s v="JET EURO X"/>
    <x v="0"/>
    <d v="2022-11-01T00:00:00"/>
    <n v="109"/>
    <s v="Wellington"/>
    <s v="New Zealand"/>
    <s v="Moped"/>
    <s v="Standard"/>
    <m/>
    <m/>
    <m/>
    <n v="1"/>
    <m/>
    <m/>
    <m/>
    <m/>
  </r>
  <r>
    <n v="497"/>
    <s v="Trailer"/>
    <x v="0"/>
    <x v="0"/>
    <s v="ELITE 8X4"/>
    <x v="0"/>
    <d v="2022-11-02T00:00:00"/>
    <n v="114"/>
    <s v="Canterbury"/>
    <s v="New Zealand"/>
    <s v="Trailer"/>
    <s v="Standard"/>
    <m/>
    <m/>
    <m/>
    <n v="1"/>
    <m/>
    <m/>
    <m/>
    <m/>
  </r>
  <r>
    <n v="498"/>
    <s v="Trailer"/>
    <x v="0"/>
    <x v="0"/>
    <s v="ROADCHIEF"/>
    <x v="0"/>
    <d v="2022-12-01T00:00:00"/>
    <n v="102"/>
    <s v="Auckland"/>
    <s v="New Zealand"/>
    <s v="Trailer"/>
    <s v="Standard"/>
    <m/>
    <m/>
    <m/>
    <n v="1"/>
    <m/>
    <m/>
    <m/>
    <m/>
  </r>
  <r>
    <n v="499"/>
    <s v="Trailer"/>
    <x v="28"/>
    <x v="0"/>
    <s v="KC95"/>
    <x v="0"/>
    <d v="2022-12-02T00:00:00"/>
    <n v="114"/>
    <s v="Canterbury"/>
    <s v="New Zealand"/>
    <s v="Kea"/>
    <s v="Standard"/>
    <m/>
    <m/>
    <m/>
    <n v="1"/>
    <m/>
    <m/>
    <m/>
    <m/>
  </r>
  <r>
    <n v="500"/>
    <s v="Trailer - Heavy"/>
    <x v="0"/>
    <x v="0"/>
    <s v="BRENT SMITH TB1"/>
    <x v="0"/>
    <d v="2022-12-03T00:00:00"/>
    <n v="102"/>
    <s v="Auckland"/>
    <s v="New Zealand"/>
    <s v="Trailer"/>
    <s v="Standard"/>
    <m/>
    <m/>
    <m/>
    <n v="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160B99-C794-4176-91FB-33185771BEA0}" name="PivotTable3" cacheId="1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Color">
  <location ref="F3:F7" firstHeaderRow="1" firstDataRow="1" firstDataCol="1" rowPageCount="1" colPageCount="1"/>
  <pivotFields count="20">
    <pivotField showAll="0"/>
    <pivotField showAll="0"/>
    <pivotField showAll="0"/>
    <pivotField axis="axisPage" showAll="0">
      <items count="55">
        <item x="43"/>
        <item x="44"/>
        <item x="33"/>
        <item x="37"/>
        <item x="30"/>
        <item x="20"/>
        <item x="49"/>
        <item x="34"/>
        <item x="50"/>
        <item x="51"/>
        <item x="40"/>
        <item x="27"/>
        <item x="39"/>
        <item x="28"/>
        <item x="38"/>
        <item x="53"/>
        <item x="17"/>
        <item x="22"/>
        <item x="25"/>
        <item x="48"/>
        <item x="41"/>
        <item x="31"/>
        <item x="23"/>
        <item x="52"/>
        <item x="46"/>
        <item x="32"/>
        <item x="14"/>
        <item x="24"/>
        <item x="16"/>
        <item x="12"/>
        <item x="15"/>
        <item x="9"/>
        <item x="3"/>
        <item x="8"/>
        <item x="13"/>
        <item x="5"/>
        <item x="2"/>
        <item x="19"/>
        <item x="6"/>
        <item x="18"/>
        <item x="42"/>
        <item x="47"/>
        <item x="21"/>
        <item x="36"/>
        <item x="45"/>
        <item x="7"/>
        <item x="10"/>
        <item x="35"/>
        <item x="11"/>
        <item x="1"/>
        <item x="29"/>
        <item x="4"/>
        <item x="0"/>
        <item x="26"/>
        <item t="default"/>
      </items>
    </pivotField>
    <pivotField showAll="0"/>
    <pivotField axis="axisRow" showAll="0">
      <items count="13">
        <item x="1"/>
        <item x="2"/>
        <item x="8"/>
        <item x="10"/>
        <item x="11"/>
        <item x="5"/>
        <item x="4"/>
        <item x="9"/>
        <item x="7"/>
        <item x="0"/>
        <item x="3"/>
        <item x="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6"/>
    </i>
    <i>
      <x v="9"/>
    </i>
    <i>
      <x v="10"/>
    </i>
  </rowItems>
  <colItems count="1">
    <i/>
  </colItems>
  <pageFields count="1">
    <pageField fld="3" item="5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79FBEB-E0B9-4DB8-9382-07AA792B2D33}" name="PivotTable2" cacheId="1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makeID">
  <location ref="C3:C8" firstHeaderRow="1" firstDataRow="1" firstDataCol="1" rowPageCount="1" colPageCount="1"/>
  <pivotFields count="20">
    <pivotField showAll="0"/>
    <pivotField showAll="0"/>
    <pivotField axis="axisRow" showAll="0">
      <items count="53">
        <item x="31"/>
        <item x="39"/>
        <item x="46"/>
        <item x="16"/>
        <item x="41"/>
        <item x="15"/>
        <item x="30"/>
        <item x="2"/>
        <item x="35"/>
        <item x="19"/>
        <item x="27"/>
        <item x="43"/>
        <item x="9"/>
        <item x="40"/>
        <item x="10"/>
        <item x="3"/>
        <item x="12"/>
        <item x="18"/>
        <item x="8"/>
        <item x="5"/>
        <item x="13"/>
        <item x="42"/>
        <item x="50"/>
        <item x="11"/>
        <item x="28"/>
        <item x="23"/>
        <item x="33"/>
        <item x="20"/>
        <item x="37"/>
        <item x="51"/>
        <item x="22"/>
        <item x="26"/>
        <item x="14"/>
        <item x="34"/>
        <item x="24"/>
        <item x="32"/>
        <item x="29"/>
        <item x="25"/>
        <item x="47"/>
        <item x="6"/>
        <item x="45"/>
        <item x="17"/>
        <item x="44"/>
        <item x="0"/>
        <item x="49"/>
        <item x="7"/>
        <item x="21"/>
        <item x="4"/>
        <item x="36"/>
        <item x="48"/>
        <item x="38"/>
        <item x="1"/>
        <item t="default"/>
      </items>
    </pivotField>
    <pivotField axis="axisPage" showAll="0">
      <items count="55">
        <item x="43"/>
        <item x="44"/>
        <item x="33"/>
        <item x="37"/>
        <item x="30"/>
        <item x="20"/>
        <item x="49"/>
        <item x="34"/>
        <item x="50"/>
        <item x="51"/>
        <item x="40"/>
        <item x="27"/>
        <item x="39"/>
        <item x="28"/>
        <item x="38"/>
        <item x="53"/>
        <item x="17"/>
        <item x="22"/>
        <item x="25"/>
        <item x="48"/>
        <item x="41"/>
        <item x="31"/>
        <item x="23"/>
        <item x="52"/>
        <item x="46"/>
        <item x="32"/>
        <item x="14"/>
        <item x="24"/>
        <item x="16"/>
        <item x="12"/>
        <item x="15"/>
        <item x="9"/>
        <item x="3"/>
        <item x="8"/>
        <item x="13"/>
        <item x="5"/>
        <item x="2"/>
        <item x="19"/>
        <item x="6"/>
        <item x="18"/>
        <item x="42"/>
        <item x="47"/>
        <item x="21"/>
        <item x="36"/>
        <item x="45"/>
        <item x="7"/>
        <item x="10"/>
        <item x="35"/>
        <item x="11"/>
        <item x="1"/>
        <item x="29"/>
        <item x="4"/>
        <item x="0"/>
        <item x="26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 v="7"/>
    </i>
    <i>
      <x v="12"/>
    </i>
    <i>
      <x v="18"/>
    </i>
    <i>
      <x v="24"/>
    </i>
    <i>
      <x v="43"/>
    </i>
  </rowItems>
  <colItems count="1">
    <i/>
  </colItems>
  <pageFields count="1">
    <pageField fld="3" item="5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BA46C4-49DD-4A6D-A524-13CB220D7E62}" name="PivotTable1" cacheId="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countOfDateStolen/locationID">
  <location ref="A3:A17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numFmtId="14" showAll="0"/>
    <pivotField axis="axisRow" showAll="0">
      <items count="14">
        <item x="7"/>
        <item x="0"/>
        <item x="9"/>
        <item x="8"/>
        <item x="1"/>
        <item x="2"/>
        <item x="11"/>
        <item x="6"/>
        <item x="4"/>
        <item x="10"/>
        <item x="3"/>
        <item x="5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sd="0" x="1"/>
        <item sd="0" x="2"/>
        <item sd="0" x="3"/>
        <item sd="0" x="5"/>
        <item sd="0" x="0"/>
        <item sd="0" x="4"/>
        <item x="6"/>
        <item t="default"/>
      </items>
    </pivotField>
  </pivotFields>
  <rowFields count="2">
    <field x="15"/>
    <field x="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 r="1">
      <x/>
    </i>
    <i r="1">
      <x v="1"/>
    </i>
    <i r="1">
      <x v="3"/>
    </i>
    <i r="1">
      <x v="5"/>
    </i>
    <i r="1">
      <x v="9"/>
    </i>
    <i r="1">
      <x v="10"/>
    </i>
    <i r="1">
      <x v="11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workbookViewId="0">
      <pane ySplit="1" topLeftCell="A490" activePane="bottomLeft" state="frozen"/>
      <selection pane="bottomLeft" activeCell="E505" sqref="E505"/>
    </sheetView>
  </sheetViews>
  <sheetFormatPr defaultColWidth="12.6328125" defaultRowHeight="15.75" customHeight="1" x14ac:dyDescent="0.25"/>
  <cols>
    <col min="1" max="1" width="9.08984375" bestFit="1" customWidth="1"/>
    <col min="2" max="2" width="12.90625" bestFit="1" customWidth="1"/>
    <col min="3" max="3" width="8" bestFit="1" customWidth="1"/>
    <col min="4" max="4" width="10.7265625" bestFit="1" customWidth="1"/>
    <col min="5" max="5" width="22.6328125" bestFit="1" customWidth="1"/>
    <col min="6" max="6" width="6.90625" bestFit="1" customWidth="1"/>
    <col min="7" max="7" width="10.81640625" bestFit="1" customWidth="1"/>
    <col min="8" max="8" width="10.08984375" bestFit="1" customWidth="1"/>
  </cols>
  <sheetData>
    <row r="1" spans="1:8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ht="15.75" customHeight="1" x14ac:dyDescent="0.35">
      <c r="A2" s="3">
        <v>1</v>
      </c>
      <c r="B2" s="4" t="s">
        <v>8</v>
      </c>
      <c r="C2" s="3">
        <v>623</v>
      </c>
      <c r="D2" s="3">
        <v>2021</v>
      </c>
      <c r="E2" s="4" t="s">
        <v>9</v>
      </c>
      <c r="F2" s="4" t="s">
        <v>10</v>
      </c>
      <c r="G2" s="5">
        <v>44207</v>
      </c>
      <c r="H2" s="3">
        <v>102</v>
      </c>
    </row>
    <row r="3" spans="1:8" ht="15.75" customHeight="1" x14ac:dyDescent="0.35">
      <c r="A3" s="3">
        <v>2</v>
      </c>
      <c r="B3" s="4" t="s">
        <v>11</v>
      </c>
      <c r="C3" s="3">
        <v>623</v>
      </c>
      <c r="D3" s="3">
        <v>2021</v>
      </c>
      <c r="E3" s="4" t="s">
        <v>12</v>
      </c>
      <c r="F3" s="4" t="s">
        <v>10</v>
      </c>
      <c r="G3" s="5">
        <v>44207</v>
      </c>
      <c r="H3" s="3">
        <v>105</v>
      </c>
    </row>
    <row r="4" spans="1:8" ht="15.75" customHeight="1" x14ac:dyDescent="0.35">
      <c r="A4" s="3">
        <v>3</v>
      </c>
      <c r="B4" s="4" t="s">
        <v>11</v>
      </c>
      <c r="C4" s="3">
        <v>623</v>
      </c>
      <c r="D4" s="3">
        <v>2021</v>
      </c>
      <c r="E4" s="4" t="s">
        <v>13</v>
      </c>
      <c r="F4" s="4" t="s">
        <v>10</v>
      </c>
      <c r="G4" s="5">
        <v>44207</v>
      </c>
      <c r="H4" s="3">
        <v>102</v>
      </c>
    </row>
    <row r="5" spans="1:8" ht="15.75" customHeight="1" x14ac:dyDescent="0.35">
      <c r="A5" s="3">
        <v>4</v>
      </c>
      <c r="B5" s="4" t="s">
        <v>8</v>
      </c>
      <c r="C5" s="3">
        <v>623</v>
      </c>
      <c r="D5" s="3">
        <v>2021</v>
      </c>
      <c r="E5" s="4" t="s">
        <v>14</v>
      </c>
      <c r="F5" s="4" t="s">
        <v>10</v>
      </c>
      <c r="G5" s="5">
        <v>44207</v>
      </c>
      <c r="H5" s="3">
        <v>106</v>
      </c>
    </row>
    <row r="6" spans="1:8" ht="15.75" customHeight="1" x14ac:dyDescent="0.35">
      <c r="A6" s="3">
        <v>5</v>
      </c>
      <c r="B6" s="4" t="s">
        <v>8</v>
      </c>
      <c r="C6" s="3">
        <v>623</v>
      </c>
      <c r="D6" s="3">
        <v>2018</v>
      </c>
      <c r="E6" s="4" t="s">
        <v>15</v>
      </c>
      <c r="F6" s="4" t="s">
        <v>10</v>
      </c>
      <c r="G6" s="5">
        <v>44207</v>
      </c>
      <c r="H6" s="3">
        <v>102</v>
      </c>
    </row>
    <row r="7" spans="1:8" ht="15.75" customHeight="1" x14ac:dyDescent="0.35">
      <c r="A7" s="3">
        <v>6</v>
      </c>
      <c r="B7" s="4" t="s">
        <v>16</v>
      </c>
      <c r="C7" s="3">
        <v>636</v>
      </c>
      <c r="D7" s="3">
        <v>2005</v>
      </c>
      <c r="E7" s="4" t="s">
        <v>17</v>
      </c>
      <c r="F7" s="4" t="s">
        <v>18</v>
      </c>
      <c r="G7" s="5">
        <v>44207</v>
      </c>
      <c r="H7" s="3">
        <v>102</v>
      </c>
    </row>
    <row r="8" spans="1:8" ht="15.75" customHeight="1" x14ac:dyDescent="0.35">
      <c r="A8" s="3">
        <v>7</v>
      </c>
      <c r="B8" s="4" t="s">
        <v>8</v>
      </c>
      <c r="C8" s="3">
        <v>623</v>
      </c>
      <c r="D8" s="3">
        <v>2021</v>
      </c>
      <c r="E8" s="4" t="s">
        <v>19</v>
      </c>
      <c r="F8" s="4" t="s">
        <v>10</v>
      </c>
      <c r="G8" s="5">
        <v>44208</v>
      </c>
      <c r="H8" s="3">
        <v>114</v>
      </c>
    </row>
    <row r="9" spans="1:8" ht="15.75" customHeight="1" x14ac:dyDescent="0.35">
      <c r="A9" s="3">
        <v>8</v>
      </c>
      <c r="B9" s="4" t="s">
        <v>11</v>
      </c>
      <c r="C9" s="3">
        <v>623</v>
      </c>
      <c r="D9" s="3">
        <v>2001</v>
      </c>
      <c r="E9" s="4" t="s">
        <v>20</v>
      </c>
      <c r="F9" s="4" t="s">
        <v>10</v>
      </c>
      <c r="G9" s="5">
        <v>44208</v>
      </c>
      <c r="H9" s="3">
        <v>109</v>
      </c>
    </row>
    <row r="10" spans="1:8" ht="15.75" customHeight="1" x14ac:dyDescent="0.35">
      <c r="A10" s="3">
        <v>9</v>
      </c>
      <c r="B10" s="4" t="s">
        <v>8</v>
      </c>
      <c r="C10" s="3">
        <v>514</v>
      </c>
      <c r="D10" s="3">
        <v>2021</v>
      </c>
      <c r="E10" s="4" t="s">
        <v>21</v>
      </c>
      <c r="F10" s="4" t="s">
        <v>10</v>
      </c>
      <c r="G10" s="5">
        <v>44238</v>
      </c>
      <c r="H10" s="3">
        <v>115</v>
      </c>
    </row>
    <row r="11" spans="1:8" ht="15.75" customHeight="1" x14ac:dyDescent="0.35">
      <c r="A11" s="3">
        <v>10</v>
      </c>
      <c r="B11" s="4" t="s">
        <v>8</v>
      </c>
      <c r="C11" s="3">
        <v>514</v>
      </c>
      <c r="D11" s="3">
        <v>2020</v>
      </c>
      <c r="E11" s="4" t="s">
        <v>22</v>
      </c>
      <c r="F11" s="4" t="s">
        <v>10</v>
      </c>
      <c r="G11" s="5">
        <v>44239</v>
      </c>
      <c r="H11" s="3">
        <v>114</v>
      </c>
    </row>
    <row r="12" spans="1:8" ht="15.75" customHeight="1" x14ac:dyDescent="0.35">
      <c r="A12" s="3">
        <v>11</v>
      </c>
      <c r="B12" s="4" t="s">
        <v>8</v>
      </c>
      <c r="C12" s="3">
        <v>623</v>
      </c>
      <c r="D12" s="3">
        <v>2018</v>
      </c>
      <c r="E12" s="4" t="s">
        <v>23</v>
      </c>
      <c r="F12" s="4" t="s">
        <v>10</v>
      </c>
      <c r="G12" s="5">
        <v>44239</v>
      </c>
      <c r="H12" s="3">
        <v>108</v>
      </c>
    </row>
    <row r="13" spans="1:8" ht="15.75" customHeight="1" x14ac:dyDescent="0.35">
      <c r="A13" s="3">
        <v>12</v>
      </c>
      <c r="B13" s="4" t="s">
        <v>8</v>
      </c>
      <c r="C13" s="3">
        <v>538</v>
      </c>
      <c r="D13" s="3">
        <v>2018</v>
      </c>
      <c r="E13" s="4" t="s">
        <v>24</v>
      </c>
      <c r="F13" s="4" t="s">
        <v>10</v>
      </c>
      <c r="G13" s="5">
        <v>44266</v>
      </c>
      <c r="H13" s="3">
        <v>102</v>
      </c>
    </row>
    <row r="14" spans="1:8" ht="15.75" customHeight="1" x14ac:dyDescent="0.35">
      <c r="A14" s="3">
        <v>13</v>
      </c>
      <c r="B14" s="4" t="s">
        <v>25</v>
      </c>
      <c r="C14" s="3">
        <v>629</v>
      </c>
      <c r="D14" s="3">
        <v>2004</v>
      </c>
      <c r="E14" s="4" t="s">
        <v>26</v>
      </c>
      <c r="F14" s="4" t="s">
        <v>18</v>
      </c>
      <c r="G14" s="5">
        <v>44267</v>
      </c>
      <c r="H14" s="3">
        <v>102</v>
      </c>
    </row>
    <row r="15" spans="1:8" ht="15.75" customHeight="1" x14ac:dyDescent="0.35">
      <c r="A15" s="3">
        <v>14</v>
      </c>
      <c r="B15" s="4" t="s">
        <v>25</v>
      </c>
      <c r="C15" s="3">
        <v>550</v>
      </c>
      <c r="D15" s="3">
        <v>2007</v>
      </c>
      <c r="E15" s="4" t="s">
        <v>27</v>
      </c>
      <c r="F15" s="4" t="s">
        <v>28</v>
      </c>
      <c r="G15" s="5">
        <v>44267</v>
      </c>
      <c r="H15" s="3">
        <v>102</v>
      </c>
    </row>
    <row r="16" spans="1:8" ht="15.75" customHeight="1" x14ac:dyDescent="0.35">
      <c r="A16" s="3">
        <v>15</v>
      </c>
      <c r="B16" s="4" t="s">
        <v>16</v>
      </c>
      <c r="C16" s="3">
        <v>611</v>
      </c>
      <c r="D16" s="3">
        <v>2007</v>
      </c>
      <c r="E16" s="4" t="s">
        <v>29</v>
      </c>
      <c r="F16" s="4" t="s">
        <v>18</v>
      </c>
      <c r="G16" s="5">
        <v>44267</v>
      </c>
      <c r="H16" s="3">
        <v>101</v>
      </c>
    </row>
    <row r="17" spans="1:8" ht="15.75" customHeight="1" x14ac:dyDescent="0.35">
      <c r="A17" s="3">
        <v>16</v>
      </c>
      <c r="B17" s="4" t="s">
        <v>8</v>
      </c>
      <c r="C17" s="3">
        <v>623</v>
      </c>
      <c r="D17" s="3">
        <v>2021</v>
      </c>
      <c r="E17" s="4" t="s">
        <v>30</v>
      </c>
      <c r="F17" s="4" t="s">
        <v>10</v>
      </c>
      <c r="G17" s="5">
        <v>44267</v>
      </c>
      <c r="H17" s="3">
        <v>109</v>
      </c>
    </row>
    <row r="18" spans="1:8" ht="15.75" customHeight="1" x14ac:dyDescent="0.35">
      <c r="A18" s="3">
        <v>17</v>
      </c>
      <c r="B18" s="4" t="s">
        <v>8</v>
      </c>
      <c r="C18" s="3">
        <v>623</v>
      </c>
      <c r="D18" s="3">
        <v>2021</v>
      </c>
      <c r="E18" s="4" t="s">
        <v>31</v>
      </c>
      <c r="F18" s="4" t="s">
        <v>10</v>
      </c>
      <c r="G18" s="5">
        <v>44297</v>
      </c>
      <c r="H18" s="3">
        <v>102</v>
      </c>
    </row>
    <row r="19" spans="1:8" ht="15.75" customHeight="1" x14ac:dyDescent="0.35">
      <c r="A19" s="3">
        <v>18</v>
      </c>
      <c r="B19" s="4" t="s">
        <v>11</v>
      </c>
      <c r="C19" s="3">
        <v>623</v>
      </c>
      <c r="D19" s="3">
        <v>2004</v>
      </c>
      <c r="E19" s="4" t="s">
        <v>20</v>
      </c>
      <c r="F19" s="4" t="s">
        <v>32</v>
      </c>
      <c r="G19" s="5">
        <v>44297</v>
      </c>
      <c r="H19" s="3">
        <v>104</v>
      </c>
    </row>
    <row r="20" spans="1:8" ht="15.75" customHeight="1" x14ac:dyDescent="0.35">
      <c r="A20" s="3">
        <v>19</v>
      </c>
      <c r="B20" s="4" t="s">
        <v>8</v>
      </c>
      <c r="C20" s="3">
        <v>623</v>
      </c>
      <c r="D20" s="3">
        <v>2014</v>
      </c>
      <c r="E20" s="4" t="s">
        <v>33</v>
      </c>
      <c r="F20" s="4" t="s">
        <v>32</v>
      </c>
      <c r="G20" s="5">
        <v>44327</v>
      </c>
      <c r="H20" s="3">
        <v>104</v>
      </c>
    </row>
    <row r="21" spans="1:8" ht="15.75" customHeight="1" x14ac:dyDescent="0.35">
      <c r="A21" s="3">
        <v>20</v>
      </c>
      <c r="B21" s="4" t="s">
        <v>11</v>
      </c>
      <c r="C21" s="3">
        <v>623</v>
      </c>
      <c r="D21" s="3">
        <v>2018</v>
      </c>
      <c r="E21" s="4" t="s">
        <v>34</v>
      </c>
      <c r="F21" s="4" t="s">
        <v>10</v>
      </c>
      <c r="G21" s="5">
        <v>44327</v>
      </c>
      <c r="H21" s="3">
        <v>114</v>
      </c>
    </row>
    <row r="22" spans="1:8" ht="14.5" x14ac:dyDescent="0.35">
      <c r="A22" s="3">
        <v>21</v>
      </c>
      <c r="B22" s="4" t="s">
        <v>16</v>
      </c>
      <c r="C22" s="3">
        <v>625</v>
      </c>
      <c r="D22" s="3">
        <v>2002</v>
      </c>
      <c r="E22" s="4" t="s">
        <v>35</v>
      </c>
      <c r="F22" s="4" t="s">
        <v>10</v>
      </c>
      <c r="G22" s="5">
        <v>44327</v>
      </c>
      <c r="H22" s="3">
        <v>101</v>
      </c>
    </row>
    <row r="23" spans="1:8" ht="14.5" x14ac:dyDescent="0.35">
      <c r="A23" s="3">
        <v>22</v>
      </c>
      <c r="B23" s="4" t="s">
        <v>8</v>
      </c>
      <c r="C23" s="3">
        <v>538</v>
      </c>
      <c r="D23" s="3">
        <v>2000</v>
      </c>
      <c r="E23" s="4" t="s">
        <v>24</v>
      </c>
      <c r="F23" s="4" t="s">
        <v>10</v>
      </c>
      <c r="G23" s="5">
        <v>44328</v>
      </c>
      <c r="H23" s="3">
        <v>104</v>
      </c>
    </row>
    <row r="24" spans="1:8" ht="14.5" x14ac:dyDescent="0.35">
      <c r="A24" s="3">
        <v>23</v>
      </c>
      <c r="B24" s="4" t="s">
        <v>8</v>
      </c>
      <c r="C24" s="3">
        <v>623</v>
      </c>
      <c r="D24" s="3">
        <v>2015</v>
      </c>
      <c r="E24" s="4" t="s">
        <v>36</v>
      </c>
      <c r="F24" s="4" t="s">
        <v>10</v>
      </c>
      <c r="G24" s="5">
        <v>44358</v>
      </c>
      <c r="H24" s="3">
        <v>114</v>
      </c>
    </row>
    <row r="25" spans="1:8" ht="14.5" x14ac:dyDescent="0.35">
      <c r="A25" s="3">
        <v>24</v>
      </c>
      <c r="B25" s="4" t="s">
        <v>37</v>
      </c>
      <c r="C25" s="3">
        <v>623</v>
      </c>
      <c r="D25" s="3">
        <v>2021</v>
      </c>
      <c r="E25" s="4" t="s">
        <v>38</v>
      </c>
      <c r="F25" s="4" t="s">
        <v>10</v>
      </c>
      <c r="G25" s="5">
        <v>44358</v>
      </c>
      <c r="H25" s="3">
        <v>102</v>
      </c>
    </row>
    <row r="26" spans="1:8" ht="14.5" x14ac:dyDescent="0.35">
      <c r="A26" s="3">
        <v>25</v>
      </c>
      <c r="B26" s="4" t="s">
        <v>8</v>
      </c>
      <c r="C26" s="3">
        <v>623</v>
      </c>
      <c r="D26" s="3">
        <v>2018</v>
      </c>
      <c r="E26" s="4" t="s">
        <v>39</v>
      </c>
      <c r="F26" s="4" t="s">
        <v>10</v>
      </c>
      <c r="G26" s="5">
        <v>44358</v>
      </c>
      <c r="H26" s="3">
        <v>106</v>
      </c>
    </row>
    <row r="27" spans="1:8" ht="14.5" x14ac:dyDescent="0.35">
      <c r="A27" s="3">
        <v>26</v>
      </c>
      <c r="B27" s="4" t="s">
        <v>8</v>
      </c>
      <c r="C27" s="3">
        <v>623</v>
      </c>
      <c r="D27" s="3">
        <v>2017</v>
      </c>
      <c r="E27" s="4" t="s">
        <v>40</v>
      </c>
      <c r="F27" s="4" t="s">
        <v>10</v>
      </c>
      <c r="G27" s="5">
        <v>44359</v>
      </c>
      <c r="H27" s="3">
        <v>108</v>
      </c>
    </row>
    <row r="28" spans="1:8" ht="14.5" x14ac:dyDescent="0.35">
      <c r="A28" s="3">
        <v>27</v>
      </c>
      <c r="B28" s="4" t="s">
        <v>8</v>
      </c>
      <c r="C28" s="3">
        <v>623</v>
      </c>
      <c r="D28" s="3">
        <v>2018</v>
      </c>
      <c r="E28" s="4" t="s">
        <v>41</v>
      </c>
      <c r="F28" s="4" t="s">
        <v>10</v>
      </c>
      <c r="G28" s="5">
        <v>44359</v>
      </c>
      <c r="H28" s="3">
        <v>103</v>
      </c>
    </row>
    <row r="29" spans="1:8" ht="14.5" x14ac:dyDescent="0.35">
      <c r="A29" s="3">
        <v>28</v>
      </c>
      <c r="B29" s="4" t="s">
        <v>8</v>
      </c>
      <c r="C29" s="3">
        <v>623</v>
      </c>
      <c r="D29" s="3">
        <v>2018</v>
      </c>
      <c r="E29" s="4" t="s">
        <v>42</v>
      </c>
      <c r="F29" s="4" t="s">
        <v>10</v>
      </c>
      <c r="G29" s="5">
        <v>44359</v>
      </c>
      <c r="H29" s="3">
        <v>109</v>
      </c>
    </row>
    <row r="30" spans="1:8" ht="14.5" x14ac:dyDescent="0.35">
      <c r="A30" s="3">
        <v>29</v>
      </c>
      <c r="B30" s="4" t="s">
        <v>8</v>
      </c>
      <c r="C30" s="3">
        <v>623</v>
      </c>
      <c r="D30" s="3">
        <v>2018</v>
      </c>
      <c r="E30" s="4" t="s">
        <v>23</v>
      </c>
      <c r="F30" s="4" t="s">
        <v>10</v>
      </c>
      <c r="G30" s="5">
        <v>44359</v>
      </c>
      <c r="H30" s="3">
        <v>104</v>
      </c>
    </row>
    <row r="31" spans="1:8" ht="14.5" x14ac:dyDescent="0.35">
      <c r="A31" s="3">
        <v>30</v>
      </c>
      <c r="B31" s="4" t="s">
        <v>8</v>
      </c>
      <c r="C31" s="3">
        <v>623</v>
      </c>
      <c r="D31" s="3">
        <v>2018</v>
      </c>
      <c r="E31" s="4" t="s">
        <v>43</v>
      </c>
      <c r="F31" s="4" t="s">
        <v>10</v>
      </c>
      <c r="G31" s="5">
        <v>44359</v>
      </c>
      <c r="H31" s="3">
        <v>102</v>
      </c>
    </row>
    <row r="32" spans="1:8" ht="14.5" x14ac:dyDescent="0.35">
      <c r="A32" s="3">
        <v>31</v>
      </c>
      <c r="B32" s="4" t="s">
        <v>8</v>
      </c>
      <c r="C32" s="3">
        <v>623</v>
      </c>
      <c r="D32" s="3">
        <v>2018</v>
      </c>
      <c r="E32" s="4" t="s">
        <v>44</v>
      </c>
      <c r="F32" s="4" t="s">
        <v>45</v>
      </c>
      <c r="G32" s="5">
        <v>44387</v>
      </c>
      <c r="H32" s="3">
        <v>102</v>
      </c>
    </row>
    <row r="33" spans="1:8" ht="14.5" x14ac:dyDescent="0.35">
      <c r="A33" s="3">
        <v>32</v>
      </c>
      <c r="B33" s="4" t="s">
        <v>8</v>
      </c>
      <c r="C33" s="3">
        <v>549</v>
      </c>
      <c r="D33" s="3">
        <v>1998</v>
      </c>
      <c r="E33" s="4" t="s">
        <v>46</v>
      </c>
      <c r="F33" s="4" t="s">
        <v>47</v>
      </c>
      <c r="G33" s="5">
        <v>44387</v>
      </c>
      <c r="H33" s="3">
        <v>114</v>
      </c>
    </row>
    <row r="34" spans="1:8" ht="14.5" x14ac:dyDescent="0.35">
      <c r="A34" s="3">
        <v>33</v>
      </c>
      <c r="B34" s="4" t="s">
        <v>11</v>
      </c>
      <c r="C34" s="3">
        <v>623</v>
      </c>
      <c r="D34" s="3">
        <v>2017</v>
      </c>
      <c r="E34" s="4" t="s">
        <v>48</v>
      </c>
      <c r="F34" s="4" t="s">
        <v>45</v>
      </c>
      <c r="G34" s="5">
        <v>44389</v>
      </c>
      <c r="H34" s="3">
        <v>104</v>
      </c>
    </row>
    <row r="35" spans="1:8" ht="14.5" x14ac:dyDescent="0.35">
      <c r="A35" s="3">
        <v>34</v>
      </c>
      <c r="B35" s="4" t="s">
        <v>8</v>
      </c>
      <c r="C35" s="3">
        <v>623</v>
      </c>
      <c r="D35" s="3">
        <v>2021</v>
      </c>
      <c r="E35" s="4" t="s">
        <v>49</v>
      </c>
      <c r="F35" s="4" t="s">
        <v>10</v>
      </c>
      <c r="G35" s="5">
        <v>44389</v>
      </c>
      <c r="H35" s="3">
        <v>102</v>
      </c>
    </row>
    <row r="36" spans="1:8" ht="14.5" x14ac:dyDescent="0.35">
      <c r="A36" s="3">
        <v>35</v>
      </c>
      <c r="B36" s="4" t="s">
        <v>8</v>
      </c>
      <c r="C36" s="3">
        <v>514</v>
      </c>
      <c r="D36" s="3">
        <v>2021</v>
      </c>
      <c r="E36" s="4" t="s">
        <v>50</v>
      </c>
      <c r="F36" s="4" t="s">
        <v>10</v>
      </c>
      <c r="G36" s="5">
        <v>44389</v>
      </c>
      <c r="H36" s="3">
        <v>114</v>
      </c>
    </row>
    <row r="37" spans="1:8" ht="14.5" x14ac:dyDescent="0.35">
      <c r="A37" s="3">
        <v>36</v>
      </c>
      <c r="B37" s="4" t="s">
        <v>8</v>
      </c>
      <c r="C37" s="3">
        <v>623</v>
      </c>
      <c r="D37" s="3">
        <v>2018</v>
      </c>
      <c r="E37" s="4" t="s">
        <v>51</v>
      </c>
      <c r="F37" s="4" t="s">
        <v>45</v>
      </c>
      <c r="G37" s="5">
        <v>44389</v>
      </c>
      <c r="H37" s="3">
        <v>103</v>
      </c>
    </row>
    <row r="38" spans="1:8" ht="14.5" x14ac:dyDescent="0.35">
      <c r="A38" s="3">
        <v>37</v>
      </c>
      <c r="B38" s="4" t="s">
        <v>8</v>
      </c>
      <c r="C38" s="3">
        <v>623</v>
      </c>
      <c r="D38" s="3">
        <v>2018</v>
      </c>
      <c r="E38" s="4" t="s">
        <v>52</v>
      </c>
      <c r="F38" s="4" t="s">
        <v>10</v>
      </c>
      <c r="G38" s="5">
        <v>44389</v>
      </c>
      <c r="H38" s="3">
        <v>102</v>
      </c>
    </row>
    <row r="39" spans="1:8" ht="14.5" x14ac:dyDescent="0.35">
      <c r="A39" s="3">
        <v>38</v>
      </c>
      <c r="B39" s="4" t="s">
        <v>8</v>
      </c>
      <c r="C39" s="3">
        <v>623</v>
      </c>
      <c r="D39" s="3">
        <v>2018</v>
      </c>
      <c r="E39" s="4" t="s">
        <v>53</v>
      </c>
      <c r="F39" s="4" t="s">
        <v>10</v>
      </c>
      <c r="G39" s="5">
        <v>44389</v>
      </c>
      <c r="H39" s="3">
        <v>109</v>
      </c>
    </row>
    <row r="40" spans="1:8" ht="14.5" x14ac:dyDescent="0.35">
      <c r="A40" s="3">
        <v>39</v>
      </c>
      <c r="B40" s="4" t="s">
        <v>37</v>
      </c>
      <c r="C40" s="3">
        <v>623</v>
      </c>
      <c r="D40" s="3">
        <v>2021</v>
      </c>
      <c r="E40" s="4" t="s">
        <v>54</v>
      </c>
      <c r="F40" s="4" t="s">
        <v>10</v>
      </c>
      <c r="G40" s="5">
        <v>44389</v>
      </c>
      <c r="H40" s="3">
        <v>104</v>
      </c>
    </row>
    <row r="41" spans="1:8" ht="14.5" x14ac:dyDescent="0.35">
      <c r="A41" s="3">
        <v>40</v>
      </c>
      <c r="B41" s="4" t="s">
        <v>8</v>
      </c>
      <c r="C41" s="3">
        <v>549</v>
      </c>
      <c r="D41" s="3">
        <v>2021</v>
      </c>
      <c r="E41" s="4" t="s">
        <v>46</v>
      </c>
      <c r="F41" s="4" t="s">
        <v>18</v>
      </c>
      <c r="G41" s="5">
        <v>44418</v>
      </c>
      <c r="H41" s="3">
        <v>109</v>
      </c>
    </row>
    <row r="42" spans="1:8" ht="14.5" x14ac:dyDescent="0.35">
      <c r="A42" s="3">
        <v>41</v>
      </c>
      <c r="B42" s="4" t="s">
        <v>8</v>
      </c>
      <c r="C42" s="3">
        <v>623</v>
      </c>
      <c r="D42" s="3">
        <v>2021</v>
      </c>
      <c r="E42" s="4" t="s">
        <v>53</v>
      </c>
      <c r="F42" s="4" t="s">
        <v>10</v>
      </c>
      <c r="G42" s="5">
        <v>44418</v>
      </c>
      <c r="H42" s="3">
        <v>106</v>
      </c>
    </row>
    <row r="43" spans="1:8" ht="14.5" x14ac:dyDescent="0.35">
      <c r="A43" s="3">
        <v>42</v>
      </c>
      <c r="B43" s="4" t="s">
        <v>8</v>
      </c>
      <c r="C43" s="3">
        <v>623</v>
      </c>
      <c r="D43" s="3">
        <v>2002</v>
      </c>
      <c r="E43" s="4" t="s">
        <v>51</v>
      </c>
      <c r="F43" s="4" t="s">
        <v>10</v>
      </c>
      <c r="G43" s="5">
        <v>44419</v>
      </c>
      <c r="H43" s="3">
        <v>102</v>
      </c>
    </row>
    <row r="44" spans="1:8" ht="14.5" x14ac:dyDescent="0.35">
      <c r="A44" s="3">
        <v>43</v>
      </c>
      <c r="B44" s="4" t="s">
        <v>11</v>
      </c>
      <c r="C44" s="3">
        <v>623</v>
      </c>
      <c r="D44" s="3">
        <v>2018</v>
      </c>
      <c r="E44" s="4" t="s">
        <v>55</v>
      </c>
      <c r="F44" s="4" t="s">
        <v>10</v>
      </c>
      <c r="G44" s="5">
        <v>44419</v>
      </c>
      <c r="H44" s="3">
        <v>102</v>
      </c>
    </row>
    <row r="45" spans="1:8" ht="14.5" x14ac:dyDescent="0.35">
      <c r="A45" s="3">
        <v>44</v>
      </c>
      <c r="B45" s="4" t="s">
        <v>8</v>
      </c>
      <c r="C45" s="3">
        <v>549</v>
      </c>
      <c r="D45" s="3">
        <v>2018</v>
      </c>
      <c r="E45" s="4" t="s">
        <v>46</v>
      </c>
      <c r="F45" s="4" t="s">
        <v>10</v>
      </c>
      <c r="G45" s="5">
        <v>44419</v>
      </c>
      <c r="H45" s="3">
        <v>114</v>
      </c>
    </row>
    <row r="46" spans="1:8" ht="14.5" x14ac:dyDescent="0.35">
      <c r="A46" s="3">
        <v>45</v>
      </c>
      <c r="B46" s="4" t="s">
        <v>8</v>
      </c>
      <c r="C46" s="3">
        <v>623</v>
      </c>
      <c r="D46" s="3">
        <v>2014</v>
      </c>
      <c r="E46" s="4" t="s">
        <v>33</v>
      </c>
      <c r="F46" s="4" t="s">
        <v>10</v>
      </c>
      <c r="G46" s="5">
        <v>44419</v>
      </c>
      <c r="H46" s="3">
        <v>104</v>
      </c>
    </row>
    <row r="47" spans="1:8" ht="14.5" x14ac:dyDescent="0.35">
      <c r="A47" s="3">
        <v>46</v>
      </c>
      <c r="B47" s="4" t="s">
        <v>25</v>
      </c>
      <c r="C47" s="3">
        <v>538</v>
      </c>
      <c r="D47" s="3">
        <v>2005</v>
      </c>
      <c r="E47" s="4" t="s">
        <v>56</v>
      </c>
      <c r="F47" s="4" t="s">
        <v>10</v>
      </c>
      <c r="G47" s="5">
        <v>44419</v>
      </c>
      <c r="H47" s="3">
        <v>106</v>
      </c>
    </row>
    <row r="48" spans="1:8" ht="14.5" x14ac:dyDescent="0.35">
      <c r="A48" s="3">
        <v>47</v>
      </c>
      <c r="B48" s="4" t="s">
        <v>37</v>
      </c>
      <c r="C48" s="3">
        <v>623</v>
      </c>
      <c r="D48" s="3">
        <v>2004</v>
      </c>
      <c r="E48" s="4" t="s">
        <v>57</v>
      </c>
      <c r="F48" s="4" t="s">
        <v>45</v>
      </c>
      <c r="G48" s="5">
        <v>44419</v>
      </c>
      <c r="H48" s="3">
        <v>102</v>
      </c>
    </row>
    <row r="49" spans="1:8" ht="14.5" x14ac:dyDescent="0.35">
      <c r="A49" s="3">
        <v>48</v>
      </c>
      <c r="B49" s="4" t="s">
        <v>8</v>
      </c>
      <c r="C49" s="3">
        <v>527</v>
      </c>
      <c r="D49" s="3">
        <v>2021</v>
      </c>
      <c r="E49" s="4" t="s">
        <v>46</v>
      </c>
      <c r="F49" s="4" t="s">
        <v>10</v>
      </c>
      <c r="G49" s="5">
        <v>44419</v>
      </c>
      <c r="H49" s="3">
        <v>102</v>
      </c>
    </row>
    <row r="50" spans="1:8" ht="14.5" x14ac:dyDescent="0.35">
      <c r="A50" s="3">
        <v>49</v>
      </c>
      <c r="B50" s="4" t="s">
        <v>8</v>
      </c>
      <c r="C50" s="3">
        <v>623</v>
      </c>
      <c r="D50" s="3">
        <v>2021</v>
      </c>
      <c r="E50" s="4" t="s">
        <v>58</v>
      </c>
      <c r="F50" s="4" t="s">
        <v>45</v>
      </c>
      <c r="G50" s="5">
        <v>44420</v>
      </c>
      <c r="H50" s="3">
        <v>102</v>
      </c>
    </row>
    <row r="51" spans="1:8" ht="14.5" x14ac:dyDescent="0.35">
      <c r="A51" s="3">
        <v>50</v>
      </c>
      <c r="B51" s="4" t="s">
        <v>8</v>
      </c>
      <c r="C51" s="3">
        <v>623</v>
      </c>
      <c r="D51" s="3">
        <v>2021</v>
      </c>
      <c r="E51" s="4" t="s">
        <v>59</v>
      </c>
      <c r="F51" s="4" t="s">
        <v>10</v>
      </c>
      <c r="G51" s="5">
        <v>44420</v>
      </c>
      <c r="H51" s="3">
        <v>114</v>
      </c>
    </row>
    <row r="52" spans="1:8" ht="14.5" x14ac:dyDescent="0.35">
      <c r="A52" s="3">
        <v>51</v>
      </c>
      <c r="B52" s="4" t="s">
        <v>8</v>
      </c>
      <c r="C52" s="3">
        <v>514</v>
      </c>
      <c r="D52" s="3">
        <v>2021</v>
      </c>
      <c r="E52" s="4" t="s">
        <v>60</v>
      </c>
      <c r="F52" s="4" t="s">
        <v>10</v>
      </c>
      <c r="G52" s="5">
        <v>44449</v>
      </c>
      <c r="H52" s="3">
        <v>102</v>
      </c>
    </row>
    <row r="53" spans="1:8" ht="14.5" x14ac:dyDescent="0.35">
      <c r="A53" s="3">
        <v>52</v>
      </c>
      <c r="B53" s="4" t="s">
        <v>61</v>
      </c>
      <c r="C53" s="3">
        <v>537</v>
      </c>
      <c r="D53" s="3">
        <v>2003</v>
      </c>
      <c r="E53" s="4" t="s">
        <v>62</v>
      </c>
      <c r="F53" s="4" t="s">
        <v>32</v>
      </c>
      <c r="G53" s="5">
        <v>44449</v>
      </c>
      <c r="H53" s="3">
        <v>114</v>
      </c>
    </row>
    <row r="54" spans="1:8" ht="14.5" x14ac:dyDescent="0.35">
      <c r="A54" s="3">
        <v>53</v>
      </c>
      <c r="B54" s="4" t="s">
        <v>16</v>
      </c>
      <c r="C54" s="3">
        <v>636</v>
      </c>
      <c r="D54" s="3">
        <v>1995</v>
      </c>
      <c r="E54" s="4" t="s">
        <v>63</v>
      </c>
      <c r="F54" s="4" t="s">
        <v>28</v>
      </c>
      <c r="G54" s="5">
        <v>44450</v>
      </c>
      <c r="H54" s="3">
        <v>111</v>
      </c>
    </row>
    <row r="55" spans="1:8" ht="14.5" x14ac:dyDescent="0.35">
      <c r="A55" s="3">
        <v>54</v>
      </c>
      <c r="B55" s="4" t="s">
        <v>16</v>
      </c>
      <c r="C55" s="3">
        <v>561</v>
      </c>
      <c r="D55" s="3">
        <v>1999</v>
      </c>
      <c r="E55" s="4" t="s">
        <v>64</v>
      </c>
      <c r="F55" s="4" t="s">
        <v>47</v>
      </c>
      <c r="G55" s="5">
        <v>44450</v>
      </c>
      <c r="H55" s="3">
        <v>104</v>
      </c>
    </row>
    <row r="56" spans="1:8" ht="14.5" x14ac:dyDescent="0.35">
      <c r="A56" s="3">
        <v>55</v>
      </c>
      <c r="B56" s="4" t="s">
        <v>37</v>
      </c>
      <c r="C56" s="3">
        <v>623</v>
      </c>
      <c r="D56" s="3">
        <v>2021</v>
      </c>
      <c r="E56" s="4" t="s">
        <v>54</v>
      </c>
      <c r="F56" s="4" t="s">
        <v>10</v>
      </c>
      <c r="G56" s="5">
        <v>44450</v>
      </c>
      <c r="H56" s="3">
        <v>104</v>
      </c>
    </row>
    <row r="57" spans="1:8" ht="14.5" x14ac:dyDescent="0.35">
      <c r="A57" s="3">
        <v>56</v>
      </c>
      <c r="B57" s="4" t="s">
        <v>37</v>
      </c>
      <c r="C57" s="3">
        <v>623</v>
      </c>
      <c r="D57" s="3">
        <v>2000</v>
      </c>
      <c r="E57" s="4" t="s">
        <v>65</v>
      </c>
      <c r="F57" s="4" t="s">
        <v>66</v>
      </c>
      <c r="G57" s="5">
        <v>44479</v>
      </c>
      <c r="H57" s="3">
        <v>102</v>
      </c>
    </row>
    <row r="58" spans="1:8" ht="14.5" x14ac:dyDescent="0.35">
      <c r="A58" s="3">
        <v>57</v>
      </c>
      <c r="B58" s="4" t="s">
        <v>11</v>
      </c>
      <c r="C58" s="3">
        <v>623</v>
      </c>
      <c r="D58" s="3">
        <v>2021</v>
      </c>
      <c r="E58" s="4" t="s">
        <v>13</v>
      </c>
      <c r="F58" s="4" t="s">
        <v>10</v>
      </c>
      <c r="G58" s="5">
        <v>44479</v>
      </c>
      <c r="H58" s="3">
        <v>102</v>
      </c>
    </row>
    <row r="59" spans="1:8" ht="14.5" x14ac:dyDescent="0.35">
      <c r="A59" s="3">
        <v>58</v>
      </c>
      <c r="B59" s="4" t="s">
        <v>8</v>
      </c>
      <c r="C59" s="3">
        <v>623</v>
      </c>
      <c r="D59" s="3">
        <v>1997</v>
      </c>
      <c r="E59" s="4" t="s">
        <v>67</v>
      </c>
      <c r="F59" s="4" t="s">
        <v>66</v>
      </c>
      <c r="G59" s="5">
        <v>44479</v>
      </c>
      <c r="H59" s="3">
        <v>105</v>
      </c>
    </row>
    <row r="60" spans="1:8" ht="14.5" x14ac:dyDescent="0.35">
      <c r="A60" s="3">
        <v>59</v>
      </c>
      <c r="B60" s="4" t="s">
        <v>8</v>
      </c>
      <c r="C60" s="3">
        <v>623</v>
      </c>
      <c r="D60" s="3">
        <v>2021</v>
      </c>
      <c r="E60" s="4" t="s">
        <v>23</v>
      </c>
      <c r="F60" s="4" t="s">
        <v>18</v>
      </c>
      <c r="G60" s="5">
        <v>44479</v>
      </c>
      <c r="H60" s="3">
        <v>102</v>
      </c>
    </row>
    <row r="61" spans="1:8" ht="14.5" x14ac:dyDescent="0.35">
      <c r="A61" s="3">
        <v>60</v>
      </c>
      <c r="B61" s="4" t="s">
        <v>8</v>
      </c>
      <c r="C61" s="3">
        <v>623</v>
      </c>
      <c r="D61" s="3">
        <v>1983</v>
      </c>
      <c r="E61" s="4" t="s">
        <v>68</v>
      </c>
      <c r="F61" s="4" t="s">
        <v>69</v>
      </c>
      <c r="G61" s="5">
        <v>44480</v>
      </c>
      <c r="H61" s="3">
        <v>108</v>
      </c>
    </row>
    <row r="62" spans="1:8" ht="14.5" x14ac:dyDescent="0.35">
      <c r="A62" s="3">
        <v>61</v>
      </c>
      <c r="B62" s="4" t="s">
        <v>8</v>
      </c>
      <c r="C62" s="3">
        <v>623</v>
      </c>
      <c r="D62" s="3">
        <v>2021</v>
      </c>
      <c r="E62" s="4" t="s">
        <v>70</v>
      </c>
      <c r="F62" s="4" t="s">
        <v>10</v>
      </c>
      <c r="G62" s="6">
        <v>44482</v>
      </c>
      <c r="H62" s="3">
        <v>102</v>
      </c>
    </row>
    <row r="63" spans="1:8" ht="14.5" x14ac:dyDescent="0.35">
      <c r="A63" s="3">
        <v>62</v>
      </c>
      <c r="B63" s="4" t="s">
        <v>8</v>
      </c>
      <c r="C63" s="3">
        <v>623</v>
      </c>
      <c r="D63" s="3">
        <v>2018</v>
      </c>
      <c r="E63" s="4" t="s">
        <v>71</v>
      </c>
      <c r="F63" s="4" t="s">
        <v>10</v>
      </c>
      <c r="G63" s="6">
        <v>44483</v>
      </c>
      <c r="H63" s="3">
        <v>102</v>
      </c>
    </row>
    <row r="64" spans="1:8" ht="14.5" x14ac:dyDescent="0.35">
      <c r="A64" s="3">
        <v>63</v>
      </c>
      <c r="B64" s="4" t="s">
        <v>25</v>
      </c>
      <c r="C64" s="3">
        <v>550</v>
      </c>
      <c r="D64" s="3">
        <v>2008</v>
      </c>
      <c r="E64" s="4" t="s">
        <v>72</v>
      </c>
      <c r="F64" s="4" t="s">
        <v>66</v>
      </c>
      <c r="G64" s="6">
        <v>44483</v>
      </c>
      <c r="H64" s="3">
        <v>104</v>
      </c>
    </row>
    <row r="65" spans="1:8" ht="14.5" x14ac:dyDescent="0.35">
      <c r="A65" s="3">
        <v>64</v>
      </c>
      <c r="B65" s="4" t="s">
        <v>8</v>
      </c>
      <c r="C65" s="3">
        <v>623</v>
      </c>
      <c r="D65" s="3">
        <v>2018</v>
      </c>
      <c r="E65" s="4" t="s">
        <v>73</v>
      </c>
      <c r="F65" s="4" t="s">
        <v>18</v>
      </c>
      <c r="G65" s="6">
        <v>44483</v>
      </c>
      <c r="H65" s="3">
        <v>104</v>
      </c>
    </row>
    <row r="66" spans="1:8" ht="14.5" x14ac:dyDescent="0.35">
      <c r="A66" s="3">
        <v>65</v>
      </c>
      <c r="B66" s="4" t="s">
        <v>8</v>
      </c>
      <c r="C66" s="3">
        <v>623</v>
      </c>
      <c r="D66" s="3">
        <v>2014</v>
      </c>
      <c r="E66" s="4" t="s">
        <v>54</v>
      </c>
      <c r="F66" s="4" t="s">
        <v>10</v>
      </c>
      <c r="G66" s="6">
        <v>44483</v>
      </c>
      <c r="H66" s="3">
        <v>104</v>
      </c>
    </row>
    <row r="67" spans="1:8" ht="14.5" x14ac:dyDescent="0.35">
      <c r="A67" s="3">
        <v>66</v>
      </c>
      <c r="B67" s="4" t="s">
        <v>11</v>
      </c>
      <c r="C67" s="3">
        <v>623</v>
      </c>
      <c r="D67" s="3">
        <v>2014</v>
      </c>
      <c r="E67" s="4" t="s">
        <v>74</v>
      </c>
      <c r="F67" s="4" t="s">
        <v>10</v>
      </c>
      <c r="G67" s="6">
        <v>44484</v>
      </c>
      <c r="H67" s="3">
        <v>105</v>
      </c>
    </row>
    <row r="68" spans="1:8" ht="14.5" x14ac:dyDescent="0.35">
      <c r="A68" s="3">
        <v>67</v>
      </c>
      <c r="B68" s="4" t="s">
        <v>75</v>
      </c>
      <c r="C68" s="3">
        <v>540</v>
      </c>
      <c r="D68" s="3">
        <v>2006</v>
      </c>
      <c r="E68" s="4" t="s">
        <v>76</v>
      </c>
      <c r="F68" s="4" t="s">
        <v>28</v>
      </c>
      <c r="G68" s="6">
        <v>44485</v>
      </c>
      <c r="H68" s="3">
        <v>105</v>
      </c>
    </row>
    <row r="69" spans="1:8" ht="14.5" x14ac:dyDescent="0.35">
      <c r="A69" s="3">
        <v>68</v>
      </c>
      <c r="B69" s="4" t="s">
        <v>37</v>
      </c>
      <c r="C69" s="3">
        <v>623</v>
      </c>
      <c r="D69" s="3">
        <v>2014</v>
      </c>
      <c r="E69" s="4" t="s">
        <v>77</v>
      </c>
      <c r="F69" s="4" t="s">
        <v>10</v>
      </c>
      <c r="G69" s="6">
        <v>44486</v>
      </c>
      <c r="H69" s="3">
        <v>105</v>
      </c>
    </row>
    <row r="70" spans="1:8" ht="14.5" x14ac:dyDescent="0.35">
      <c r="A70" s="3">
        <v>69</v>
      </c>
      <c r="B70" s="4" t="s">
        <v>8</v>
      </c>
      <c r="C70" s="3">
        <v>623</v>
      </c>
      <c r="D70" s="3">
        <v>2014</v>
      </c>
      <c r="E70" s="4" t="s">
        <v>78</v>
      </c>
      <c r="F70" s="4" t="s">
        <v>10</v>
      </c>
      <c r="G70" s="6">
        <v>44487</v>
      </c>
      <c r="H70" s="3">
        <v>114</v>
      </c>
    </row>
    <row r="71" spans="1:8" ht="14.5" x14ac:dyDescent="0.35">
      <c r="A71" s="3">
        <v>70</v>
      </c>
      <c r="B71" s="4" t="s">
        <v>11</v>
      </c>
      <c r="C71" s="3">
        <v>551</v>
      </c>
      <c r="D71" s="3">
        <v>2014</v>
      </c>
      <c r="E71" s="4" t="s">
        <v>79</v>
      </c>
      <c r="F71" s="4" t="s">
        <v>10</v>
      </c>
      <c r="G71" s="6">
        <v>44487</v>
      </c>
      <c r="H71" s="3">
        <v>103</v>
      </c>
    </row>
    <row r="72" spans="1:8" ht="14.5" x14ac:dyDescent="0.35">
      <c r="A72" s="3">
        <v>71</v>
      </c>
      <c r="B72" s="4" t="s">
        <v>8</v>
      </c>
      <c r="C72" s="3">
        <v>623</v>
      </c>
      <c r="D72" s="3">
        <v>2014</v>
      </c>
      <c r="E72" s="4" t="s">
        <v>53</v>
      </c>
      <c r="F72" s="4" t="s">
        <v>10</v>
      </c>
      <c r="G72" s="6">
        <v>44487</v>
      </c>
      <c r="H72" s="3">
        <v>107</v>
      </c>
    </row>
    <row r="73" spans="1:8" ht="14.5" x14ac:dyDescent="0.35">
      <c r="A73" s="3">
        <v>72</v>
      </c>
      <c r="B73" s="4" t="s">
        <v>8</v>
      </c>
      <c r="C73" s="3">
        <v>623</v>
      </c>
      <c r="D73" s="3">
        <v>2014</v>
      </c>
      <c r="E73" s="4" t="s">
        <v>80</v>
      </c>
      <c r="F73" s="4" t="s">
        <v>10</v>
      </c>
      <c r="G73" s="6">
        <v>44488</v>
      </c>
      <c r="H73" s="3">
        <v>102</v>
      </c>
    </row>
    <row r="74" spans="1:8" ht="14.5" x14ac:dyDescent="0.35">
      <c r="A74" s="3">
        <v>73</v>
      </c>
      <c r="B74" s="4" t="s">
        <v>8</v>
      </c>
      <c r="C74" s="3">
        <v>623</v>
      </c>
      <c r="D74" s="3">
        <v>2014</v>
      </c>
      <c r="E74" s="4" t="s">
        <v>81</v>
      </c>
      <c r="F74" s="4" t="s">
        <v>10</v>
      </c>
      <c r="G74" s="6">
        <v>44488</v>
      </c>
      <c r="H74" s="3">
        <v>114</v>
      </c>
    </row>
    <row r="75" spans="1:8" ht="14.5" x14ac:dyDescent="0.35">
      <c r="A75" s="3">
        <v>74</v>
      </c>
      <c r="B75" s="4" t="s">
        <v>61</v>
      </c>
      <c r="C75" s="3">
        <v>591</v>
      </c>
      <c r="D75" s="3">
        <v>1969</v>
      </c>
      <c r="E75" s="4" t="s">
        <v>82</v>
      </c>
      <c r="F75" s="4" t="s">
        <v>32</v>
      </c>
      <c r="G75" s="6">
        <v>44488</v>
      </c>
      <c r="H75" s="3">
        <v>104</v>
      </c>
    </row>
    <row r="76" spans="1:8" ht="14.5" x14ac:dyDescent="0.35">
      <c r="A76" s="3">
        <v>75</v>
      </c>
      <c r="B76" s="4" t="s">
        <v>83</v>
      </c>
      <c r="C76" s="3">
        <v>512</v>
      </c>
      <c r="D76" s="3">
        <v>2007</v>
      </c>
      <c r="E76" s="4" t="s">
        <v>84</v>
      </c>
      <c r="F76" s="4" t="s">
        <v>32</v>
      </c>
      <c r="G76" s="6">
        <v>44488</v>
      </c>
      <c r="H76" s="3">
        <v>102</v>
      </c>
    </row>
    <row r="77" spans="1:8" ht="14.5" x14ac:dyDescent="0.35">
      <c r="A77" s="3">
        <v>76</v>
      </c>
      <c r="B77" s="4" t="s">
        <v>8</v>
      </c>
      <c r="C77" s="3">
        <v>623</v>
      </c>
      <c r="D77" s="3">
        <v>2015</v>
      </c>
      <c r="E77" s="4" t="s">
        <v>85</v>
      </c>
      <c r="F77" s="4" t="s">
        <v>10</v>
      </c>
      <c r="G77" s="6">
        <v>44488</v>
      </c>
      <c r="H77" s="3">
        <v>102</v>
      </c>
    </row>
    <row r="78" spans="1:8" ht="14.5" x14ac:dyDescent="0.35">
      <c r="A78" s="3">
        <v>77</v>
      </c>
      <c r="B78" s="4" t="s">
        <v>8</v>
      </c>
      <c r="C78" s="3">
        <v>623</v>
      </c>
      <c r="D78" s="3">
        <v>2011</v>
      </c>
      <c r="E78" s="4" t="s">
        <v>23</v>
      </c>
      <c r="F78" s="4" t="s">
        <v>45</v>
      </c>
      <c r="G78" s="6">
        <v>44488</v>
      </c>
      <c r="H78" s="3">
        <v>102</v>
      </c>
    </row>
    <row r="79" spans="1:8" ht="14.5" x14ac:dyDescent="0.35">
      <c r="A79" s="3">
        <v>78</v>
      </c>
      <c r="B79" s="4" t="s">
        <v>11</v>
      </c>
      <c r="C79" s="3">
        <v>623</v>
      </c>
      <c r="D79" s="3">
        <v>2015</v>
      </c>
      <c r="E79" s="4" t="s">
        <v>86</v>
      </c>
      <c r="F79" s="4" t="s">
        <v>10</v>
      </c>
      <c r="G79" s="6">
        <v>44490</v>
      </c>
      <c r="H79" s="3">
        <v>104</v>
      </c>
    </row>
    <row r="80" spans="1:8" ht="14.5" x14ac:dyDescent="0.35">
      <c r="A80" s="3">
        <v>79</v>
      </c>
      <c r="B80" s="4" t="s">
        <v>8</v>
      </c>
      <c r="C80" s="3">
        <v>623</v>
      </c>
      <c r="D80" s="3">
        <v>2015</v>
      </c>
      <c r="E80" s="4" t="s">
        <v>53</v>
      </c>
      <c r="F80" s="4" t="s">
        <v>10</v>
      </c>
      <c r="G80" s="6">
        <v>44490</v>
      </c>
      <c r="H80" s="3">
        <v>106</v>
      </c>
    </row>
    <row r="81" spans="1:8" ht="14.5" x14ac:dyDescent="0.35">
      <c r="A81" s="3">
        <v>80</v>
      </c>
      <c r="B81" s="4" t="s">
        <v>8</v>
      </c>
      <c r="C81" s="3">
        <v>623</v>
      </c>
      <c r="D81" s="3">
        <v>2015</v>
      </c>
      <c r="E81" s="4" t="s">
        <v>87</v>
      </c>
      <c r="F81" s="4" t="s">
        <v>10</v>
      </c>
      <c r="G81" s="6">
        <v>44490</v>
      </c>
      <c r="H81" s="3">
        <v>114</v>
      </c>
    </row>
    <row r="82" spans="1:8" ht="14.5" x14ac:dyDescent="0.35">
      <c r="A82" s="3">
        <v>81</v>
      </c>
      <c r="B82" s="4" t="s">
        <v>8</v>
      </c>
      <c r="C82" s="3">
        <v>623</v>
      </c>
      <c r="D82" s="3">
        <v>2015</v>
      </c>
      <c r="E82" s="4" t="s">
        <v>88</v>
      </c>
      <c r="F82" s="4" t="s">
        <v>10</v>
      </c>
      <c r="G82" s="6">
        <v>44490</v>
      </c>
      <c r="H82" s="3">
        <v>102</v>
      </c>
    </row>
    <row r="83" spans="1:8" ht="14.5" x14ac:dyDescent="0.35">
      <c r="A83" s="3">
        <v>82</v>
      </c>
      <c r="B83" s="4" t="s">
        <v>8</v>
      </c>
      <c r="C83" s="3">
        <v>623</v>
      </c>
      <c r="D83" s="3">
        <v>2015</v>
      </c>
      <c r="E83" s="4" t="s">
        <v>33</v>
      </c>
      <c r="F83" s="4" t="s">
        <v>10</v>
      </c>
      <c r="G83" s="6">
        <v>44491</v>
      </c>
      <c r="H83" s="3">
        <v>103</v>
      </c>
    </row>
    <row r="84" spans="1:8" ht="14.5" x14ac:dyDescent="0.35">
      <c r="A84" s="3">
        <v>83</v>
      </c>
      <c r="B84" s="4" t="s">
        <v>37</v>
      </c>
      <c r="C84" s="3">
        <v>623</v>
      </c>
      <c r="D84" s="3">
        <v>1998</v>
      </c>
      <c r="E84" s="4" t="s">
        <v>89</v>
      </c>
      <c r="F84" s="4" t="s">
        <v>32</v>
      </c>
      <c r="G84" s="6">
        <v>44491</v>
      </c>
      <c r="H84" s="3">
        <v>104</v>
      </c>
    </row>
    <row r="85" spans="1:8" ht="14.5" x14ac:dyDescent="0.35">
      <c r="A85" s="3">
        <v>84</v>
      </c>
      <c r="B85" s="4" t="s">
        <v>90</v>
      </c>
      <c r="C85" s="3">
        <v>507</v>
      </c>
      <c r="D85" s="3">
        <v>2015</v>
      </c>
      <c r="E85" s="4" t="s">
        <v>91</v>
      </c>
      <c r="F85" s="4" t="s">
        <v>10</v>
      </c>
      <c r="G85" s="6">
        <v>44493</v>
      </c>
      <c r="H85" s="3">
        <v>109</v>
      </c>
    </row>
    <row r="86" spans="1:8" ht="14.5" x14ac:dyDescent="0.35">
      <c r="A86" s="3">
        <v>85</v>
      </c>
      <c r="B86" s="4" t="s">
        <v>8</v>
      </c>
      <c r="C86" s="3">
        <v>623</v>
      </c>
      <c r="D86" s="3">
        <v>2015</v>
      </c>
      <c r="E86" s="4" t="s">
        <v>92</v>
      </c>
      <c r="F86" s="4" t="s">
        <v>10</v>
      </c>
      <c r="G86" s="6">
        <v>44493</v>
      </c>
      <c r="H86" s="3">
        <v>114</v>
      </c>
    </row>
    <row r="87" spans="1:8" ht="14.5" x14ac:dyDescent="0.35">
      <c r="A87" s="3">
        <v>86</v>
      </c>
      <c r="B87" s="4" t="s">
        <v>16</v>
      </c>
      <c r="C87" s="3">
        <v>629</v>
      </c>
      <c r="D87" s="3">
        <v>2001</v>
      </c>
      <c r="E87" s="4" t="s">
        <v>93</v>
      </c>
      <c r="F87" s="4" t="s">
        <v>10</v>
      </c>
      <c r="G87" s="6">
        <v>44493</v>
      </c>
      <c r="H87" s="3">
        <v>102</v>
      </c>
    </row>
    <row r="88" spans="1:8" ht="14.5" x14ac:dyDescent="0.35">
      <c r="A88" s="3">
        <v>87</v>
      </c>
      <c r="B88" s="4" t="s">
        <v>8</v>
      </c>
      <c r="C88" s="3">
        <v>623</v>
      </c>
      <c r="D88" s="3">
        <v>2015</v>
      </c>
      <c r="E88" s="4" t="s">
        <v>94</v>
      </c>
      <c r="F88" s="4" t="s">
        <v>10</v>
      </c>
      <c r="G88" s="6">
        <v>44494</v>
      </c>
      <c r="H88" s="3">
        <v>114</v>
      </c>
    </row>
    <row r="89" spans="1:8" ht="14.5" x14ac:dyDescent="0.35">
      <c r="A89" s="3">
        <v>88</v>
      </c>
      <c r="B89" s="4" t="s">
        <v>8</v>
      </c>
      <c r="C89" s="3">
        <v>623</v>
      </c>
      <c r="D89" s="3">
        <v>1984</v>
      </c>
      <c r="E89" s="4" t="s">
        <v>36</v>
      </c>
      <c r="F89" s="4" t="s">
        <v>66</v>
      </c>
      <c r="G89" s="6">
        <v>44494</v>
      </c>
      <c r="H89" s="3">
        <v>102</v>
      </c>
    </row>
    <row r="90" spans="1:8" ht="14.5" x14ac:dyDescent="0.35">
      <c r="A90" s="3">
        <v>89</v>
      </c>
      <c r="B90" s="4" t="s">
        <v>8</v>
      </c>
      <c r="C90" s="3">
        <v>623</v>
      </c>
      <c r="D90" s="3">
        <v>2015</v>
      </c>
      <c r="E90" s="4" t="s">
        <v>71</v>
      </c>
      <c r="F90" s="4" t="s">
        <v>10</v>
      </c>
      <c r="G90" s="6">
        <v>44495</v>
      </c>
      <c r="H90" s="3">
        <v>103</v>
      </c>
    </row>
    <row r="91" spans="1:8" ht="14.5" x14ac:dyDescent="0.35">
      <c r="A91" s="3">
        <v>90</v>
      </c>
      <c r="B91" s="4" t="s">
        <v>11</v>
      </c>
      <c r="C91" s="3">
        <v>623</v>
      </c>
      <c r="D91" s="3">
        <v>2008</v>
      </c>
      <c r="E91" s="4" t="s">
        <v>20</v>
      </c>
      <c r="F91" s="4" t="s">
        <v>10</v>
      </c>
      <c r="G91" s="6">
        <v>44496</v>
      </c>
      <c r="H91" s="3">
        <v>104</v>
      </c>
    </row>
    <row r="92" spans="1:8" ht="14.5" x14ac:dyDescent="0.35">
      <c r="A92" s="3">
        <v>91</v>
      </c>
      <c r="B92" s="4" t="s">
        <v>8</v>
      </c>
      <c r="C92" s="3">
        <v>623</v>
      </c>
      <c r="D92" s="3">
        <v>1990</v>
      </c>
      <c r="E92" s="4" t="s">
        <v>23</v>
      </c>
      <c r="F92" s="4" t="s">
        <v>28</v>
      </c>
      <c r="G92" s="6">
        <v>44496</v>
      </c>
      <c r="H92" s="3">
        <v>104</v>
      </c>
    </row>
    <row r="93" spans="1:8" ht="14.5" x14ac:dyDescent="0.35">
      <c r="A93" s="3">
        <v>92</v>
      </c>
      <c r="B93" s="4" t="s">
        <v>8</v>
      </c>
      <c r="C93" s="3">
        <v>623</v>
      </c>
      <c r="D93" s="3">
        <v>2000</v>
      </c>
      <c r="E93" s="4" t="s">
        <v>54</v>
      </c>
      <c r="F93" s="4" t="s">
        <v>10</v>
      </c>
      <c r="G93" s="6">
        <v>44497</v>
      </c>
      <c r="H93" s="3">
        <v>104</v>
      </c>
    </row>
    <row r="94" spans="1:8" ht="14.5" x14ac:dyDescent="0.35">
      <c r="A94" s="3">
        <v>93</v>
      </c>
      <c r="B94" s="4" t="s">
        <v>8</v>
      </c>
      <c r="C94" s="3">
        <v>549</v>
      </c>
      <c r="D94" s="3">
        <v>1996</v>
      </c>
      <c r="E94" s="4" t="s">
        <v>46</v>
      </c>
      <c r="F94" s="4" t="s">
        <v>10</v>
      </c>
      <c r="G94" s="6">
        <v>44497</v>
      </c>
      <c r="H94" s="3">
        <v>102</v>
      </c>
    </row>
    <row r="95" spans="1:8" ht="14.5" x14ac:dyDescent="0.35">
      <c r="A95" s="3">
        <v>94</v>
      </c>
      <c r="B95" s="4" t="s">
        <v>8</v>
      </c>
      <c r="C95" s="3">
        <v>623</v>
      </c>
      <c r="D95" s="3">
        <v>2018</v>
      </c>
      <c r="E95" s="4" t="s">
        <v>95</v>
      </c>
      <c r="F95" s="4" t="s">
        <v>10</v>
      </c>
      <c r="G95" s="6">
        <v>44497</v>
      </c>
      <c r="H95" s="3">
        <v>102</v>
      </c>
    </row>
    <row r="96" spans="1:8" ht="14.5" x14ac:dyDescent="0.35">
      <c r="A96" s="3">
        <v>95</v>
      </c>
      <c r="B96" s="4" t="s">
        <v>8</v>
      </c>
      <c r="C96" s="3">
        <v>616</v>
      </c>
      <c r="D96" s="3">
        <v>2018</v>
      </c>
      <c r="E96" s="4" t="s">
        <v>33</v>
      </c>
      <c r="F96" s="4" t="s">
        <v>10</v>
      </c>
      <c r="G96" s="6">
        <v>44498</v>
      </c>
      <c r="H96" s="3">
        <v>102</v>
      </c>
    </row>
    <row r="97" spans="1:8" ht="14.5" x14ac:dyDescent="0.35">
      <c r="A97" s="3">
        <v>96</v>
      </c>
      <c r="B97" s="4" t="s">
        <v>8</v>
      </c>
      <c r="C97" s="3">
        <v>527</v>
      </c>
      <c r="D97" s="3">
        <v>1985</v>
      </c>
      <c r="E97" s="4" t="s">
        <v>57</v>
      </c>
      <c r="F97" s="4" t="s">
        <v>10</v>
      </c>
      <c r="G97" s="6">
        <v>44498</v>
      </c>
      <c r="H97" s="3">
        <v>102</v>
      </c>
    </row>
    <row r="98" spans="1:8" ht="14.5" x14ac:dyDescent="0.35">
      <c r="A98" s="3">
        <v>97</v>
      </c>
      <c r="B98" s="4" t="s">
        <v>16</v>
      </c>
      <c r="C98" s="3">
        <v>550</v>
      </c>
      <c r="D98" s="3">
        <v>2005</v>
      </c>
      <c r="E98" s="4" t="s">
        <v>96</v>
      </c>
      <c r="F98" s="4" t="s">
        <v>69</v>
      </c>
      <c r="G98" s="6">
        <v>44498</v>
      </c>
      <c r="H98" s="3">
        <v>102</v>
      </c>
    </row>
    <row r="99" spans="1:8" ht="14.5" x14ac:dyDescent="0.35">
      <c r="A99" s="3">
        <v>98</v>
      </c>
      <c r="B99" s="4" t="s">
        <v>16</v>
      </c>
      <c r="C99" s="3">
        <v>550</v>
      </c>
      <c r="D99" s="3">
        <v>2000</v>
      </c>
      <c r="E99" s="4" t="s">
        <v>97</v>
      </c>
      <c r="F99" s="4" t="s">
        <v>28</v>
      </c>
      <c r="G99" s="6">
        <v>44498</v>
      </c>
      <c r="H99" s="3">
        <v>114</v>
      </c>
    </row>
    <row r="100" spans="1:8" ht="14.5" x14ac:dyDescent="0.35">
      <c r="A100" s="3">
        <v>99</v>
      </c>
      <c r="B100" s="4" t="s">
        <v>8</v>
      </c>
      <c r="C100" s="3">
        <v>623</v>
      </c>
      <c r="D100" s="3">
        <v>2022</v>
      </c>
      <c r="E100" s="4" t="s">
        <v>23</v>
      </c>
      <c r="F100" s="4" t="s">
        <v>18</v>
      </c>
      <c r="G100" s="6">
        <v>44498</v>
      </c>
      <c r="H100" s="3">
        <v>102</v>
      </c>
    </row>
    <row r="101" spans="1:8" ht="14.5" x14ac:dyDescent="0.35">
      <c r="A101" s="3">
        <v>100</v>
      </c>
      <c r="B101" s="4" t="s">
        <v>11</v>
      </c>
      <c r="C101" s="3">
        <v>623</v>
      </c>
      <c r="D101" s="3">
        <v>2021</v>
      </c>
      <c r="E101" s="4" t="s">
        <v>98</v>
      </c>
      <c r="F101" s="4" t="s">
        <v>45</v>
      </c>
      <c r="G101" s="6">
        <v>44499</v>
      </c>
      <c r="H101" s="3">
        <v>103</v>
      </c>
    </row>
    <row r="102" spans="1:8" ht="14.5" x14ac:dyDescent="0.35">
      <c r="A102" s="3">
        <v>101</v>
      </c>
      <c r="B102" s="4" t="s">
        <v>8</v>
      </c>
      <c r="C102" s="3">
        <v>623</v>
      </c>
      <c r="D102" s="3">
        <v>2000</v>
      </c>
      <c r="E102" s="4" t="s">
        <v>23</v>
      </c>
      <c r="F102" s="4" t="s">
        <v>10</v>
      </c>
      <c r="G102" s="6">
        <v>44499</v>
      </c>
      <c r="H102" s="3">
        <v>106</v>
      </c>
    </row>
    <row r="103" spans="1:8" ht="14.5" x14ac:dyDescent="0.35">
      <c r="A103" s="3">
        <v>102</v>
      </c>
      <c r="B103" s="4" t="s">
        <v>8</v>
      </c>
      <c r="C103" s="3">
        <v>549</v>
      </c>
      <c r="D103" s="3">
        <v>2022</v>
      </c>
      <c r="E103" s="4" t="s">
        <v>46</v>
      </c>
      <c r="F103" s="4" t="s">
        <v>18</v>
      </c>
      <c r="G103" s="6">
        <v>44500</v>
      </c>
      <c r="H103" s="3">
        <v>104</v>
      </c>
    </row>
    <row r="104" spans="1:8" ht="14.5" x14ac:dyDescent="0.35">
      <c r="A104" s="3">
        <v>103</v>
      </c>
      <c r="B104" s="4" t="s">
        <v>8</v>
      </c>
      <c r="C104" s="3">
        <v>623</v>
      </c>
      <c r="D104" s="3">
        <v>1998</v>
      </c>
      <c r="E104" s="4" t="s">
        <v>99</v>
      </c>
      <c r="F104" s="4" t="s">
        <v>32</v>
      </c>
      <c r="G104" s="6">
        <v>44500</v>
      </c>
      <c r="H104" s="3">
        <v>102</v>
      </c>
    </row>
    <row r="105" spans="1:8" ht="14.5" x14ac:dyDescent="0.35">
      <c r="A105" s="3">
        <v>104</v>
      </c>
      <c r="B105" s="4" t="s">
        <v>8</v>
      </c>
      <c r="C105" s="3">
        <v>623</v>
      </c>
      <c r="D105" s="3">
        <v>2018</v>
      </c>
      <c r="E105" s="4" t="s">
        <v>100</v>
      </c>
      <c r="F105" s="4" t="s">
        <v>10</v>
      </c>
      <c r="G105" s="6">
        <v>44500</v>
      </c>
      <c r="H105" s="3">
        <v>104</v>
      </c>
    </row>
    <row r="106" spans="1:8" ht="14.5" x14ac:dyDescent="0.35">
      <c r="A106" s="3">
        <v>105</v>
      </c>
      <c r="B106" s="4" t="s">
        <v>8</v>
      </c>
      <c r="C106" s="3">
        <v>623</v>
      </c>
      <c r="D106" s="3">
        <v>1977</v>
      </c>
      <c r="E106" s="4" t="s">
        <v>36</v>
      </c>
      <c r="F106" s="4" t="s">
        <v>101</v>
      </c>
      <c r="G106" s="5">
        <v>44510</v>
      </c>
      <c r="H106" s="3">
        <v>104</v>
      </c>
    </row>
    <row r="107" spans="1:8" ht="14.5" x14ac:dyDescent="0.35">
      <c r="A107" s="3">
        <v>106</v>
      </c>
      <c r="B107" s="4" t="s">
        <v>37</v>
      </c>
      <c r="C107" s="3">
        <v>623</v>
      </c>
      <c r="D107" s="3">
        <v>2018</v>
      </c>
      <c r="E107" s="4" t="s">
        <v>102</v>
      </c>
      <c r="F107" s="4" t="s">
        <v>10</v>
      </c>
      <c r="G107" s="5">
        <v>44510</v>
      </c>
      <c r="H107" s="3">
        <v>106</v>
      </c>
    </row>
    <row r="108" spans="1:8" ht="14.5" x14ac:dyDescent="0.35">
      <c r="A108" s="3">
        <v>107</v>
      </c>
      <c r="B108" s="4" t="s">
        <v>8</v>
      </c>
      <c r="C108" s="3">
        <v>623</v>
      </c>
      <c r="D108" s="3">
        <v>1980</v>
      </c>
      <c r="E108" s="4" t="s">
        <v>51</v>
      </c>
      <c r="F108" s="4" t="s">
        <v>28</v>
      </c>
      <c r="G108" s="5">
        <v>44510</v>
      </c>
      <c r="H108" s="3">
        <v>111</v>
      </c>
    </row>
    <row r="109" spans="1:8" ht="14.5" x14ac:dyDescent="0.35">
      <c r="A109" s="3">
        <v>108</v>
      </c>
      <c r="B109" s="4" t="s">
        <v>37</v>
      </c>
      <c r="C109" s="3">
        <v>623</v>
      </c>
      <c r="D109" s="3">
        <v>2018</v>
      </c>
      <c r="E109" s="4" t="s">
        <v>103</v>
      </c>
      <c r="F109" s="4" t="s">
        <v>32</v>
      </c>
      <c r="G109" s="5">
        <v>44511</v>
      </c>
      <c r="H109" s="3">
        <v>114</v>
      </c>
    </row>
    <row r="110" spans="1:8" ht="14.5" x14ac:dyDescent="0.35">
      <c r="A110" s="3">
        <v>109</v>
      </c>
      <c r="B110" s="4" t="s">
        <v>8</v>
      </c>
      <c r="C110" s="3">
        <v>623</v>
      </c>
      <c r="D110" s="3">
        <v>2022</v>
      </c>
      <c r="E110" s="4" t="s">
        <v>46</v>
      </c>
      <c r="F110" s="4" t="s">
        <v>10</v>
      </c>
      <c r="G110" s="5">
        <v>44512</v>
      </c>
      <c r="H110" s="3">
        <v>102</v>
      </c>
    </row>
    <row r="111" spans="1:8" ht="14.5" x14ac:dyDescent="0.35">
      <c r="A111" s="3">
        <v>110</v>
      </c>
      <c r="B111" s="4" t="s">
        <v>8</v>
      </c>
      <c r="C111" s="3">
        <v>623</v>
      </c>
      <c r="D111" s="3">
        <v>2019</v>
      </c>
      <c r="E111" s="4" t="s">
        <v>57</v>
      </c>
      <c r="F111" s="4" t="s">
        <v>45</v>
      </c>
      <c r="G111" s="5">
        <v>44512</v>
      </c>
      <c r="H111" s="3">
        <v>109</v>
      </c>
    </row>
    <row r="112" spans="1:8" ht="14.5" x14ac:dyDescent="0.35">
      <c r="A112" s="3">
        <v>111</v>
      </c>
      <c r="B112" s="4" t="s">
        <v>8</v>
      </c>
      <c r="C112" s="3">
        <v>623</v>
      </c>
      <c r="D112" s="3">
        <v>2022</v>
      </c>
      <c r="E112" s="4" t="s">
        <v>104</v>
      </c>
      <c r="F112" s="4" t="s">
        <v>10</v>
      </c>
      <c r="G112" s="6">
        <v>44513</v>
      </c>
      <c r="H112" s="3">
        <v>106</v>
      </c>
    </row>
    <row r="113" spans="1:8" ht="14.5" x14ac:dyDescent="0.35">
      <c r="A113" s="3">
        <v>112</v>
      </c>
      <c r="B113" s="4" t="s">
        <v>16</v>
      </c>
      <c r="C113" s="3">
        <v>545</v>
      </c>
      <c r="D113" s="3">
        <v>2004</v>
      </c>
      <c r="E113" s="4" t="s">
        <v>105</v>
      </c>
      <c r="F113" s="4" t="s">
        <v>69</v>
      </c>
      <c r="G113" s="6">
        <v>44513</v>
      </c>
      <c r="H113" s="3">
        <v>102</v>
      </c>
    </row>
    <row r="114" spans="1:8" ht="14.5" x14ac:dyDescent="0.35">
      <c r="A114" s="3">
        <v>113</v>
      </c>
      <c r="B114" s="4" t="s">
        <v>8</v>
      </c>
      <c r="C114" s="3">
        <v>623</v>
      </c>
      <c r="D114" s="3">
        <v>1967</v>
      </c>
      <c r="E114" s="4" t="s">
        <v>36</v>
      </c>
      <c r="F114" s="4" t="s">
        <v>45</v>
      </c>
      <c r="G114" s="6">
        <v>44513</v>
      </c>
      <c r="H114" s="3">
        <v>114</v>
      </c>
    </row>
    <row r="115" spans="1:8" ht="14.5" x14ac:dyDescent="0.35">
      <c r="A115" s="3">
        <v>114</v>
      </c>
      <c r="B115" s="4" t="s">
        <v>61</v>
      </c>
      <c r="C115" s="3">
        <v>519</v>
      </c>
      <c r="D115" s="3">
        <v>2006</v>
      </c>
      <c r="E115" s="4" t="s">
        <v>106</v>
      </c>
      <c r="F115" s="4" t="s">
        <v>32</v>
      </c>
      <c r="G115" s="6">
        <v>44514</v>
      </c>
      <c r="H115" s="3">
        <v>102</v>
      </c>
    </row>
    <row r="116" spans="1:8" ht="14.5" x14ac:dyDescent="0.35">
      <c r="A116" s="3">
        <v>115</v>
      </c>
      <c r="B116" s="4" t="s">
        <v>8</v>
      </c>
      <c r="C116" s="3">
        <v>623</v>
      </c>
      <c r="D116" s="3">
        <v>2018</v>
      </c>
      <c r="E116" s="4" t="s">
        <v>89</v>
      </c>
      <c r="F116" s="4" t="s">
        <v>10</v>
      </c>
      <c r="G116" s="6">
        <v>44515</v>
      </c>
      <c r="H116" s="3">
        <v>114</v>
      </c>
    </row>
    <row r="117" spans="1:8" ht="14.5" x14ac:dyDescent="0.35">
      <c r="A117" s="3">
        <v>116</v>
      </c>
      <c r="B117" s="4" t="s">
        <v>107</v>
      </c>
      <c r="C117" s="3">
        <v>575</v>
      </c>
      <c r="D117" s="3">
        <v>2007</v>
      </c>
      <c r="E117" s="4" t="s">
        <v>108</v>
      </c>
      <c r="F117" s="4" t="s">
        <v>69</v>
      </c>
      <c r="G117" s="6">
        <v>44515</v>
      </c>
      <c r="H117" s="3">
        <v>103</v>
      </c>
    </row>
    <row r="118" spans="1:8" ht="14.5" x14ac:dyDescent="0.35">
      <c r="A118" s="3">
        <v>117</v>
      </c>
      <c r="B118" s="4" t="s">
        <v>8</v>
      </c>
      <c r="C118" s="3">
        <v>623</v>
      </c>
      <c r="D118" s="3">
        <v>2022</v>
      </c>
      <c r="E118" s="4" t="s">
        <v>109</v>
      </c>
      <c r="F118" s="4" t="s">
        <v>10</v>
      </c>
      <c r="G118" s="6">
        <v>44515</v>
      </c>
      <c r="H118" s="3">
        <v>109</v>
      </c>
    </row>
    <row r="119" spans="1:8" ht="14.5" x14ac:dyDescent="0.35">
      <c r="A119" s="3">
        <v>118</v>
      </c>
      <c r="B119" s="4" t="s">
        <v>16</v>
      </c>
      <c r="C119" s="3">
        <v>611</v>
      </c>
      <c r="D119" s="3">
        <v>2003</v>
      </c>
      <c r="E119" s="4" t="s">
        <v>110</v>
      </c>
      <c r="F119" s="4" t="s">
        <v>18</v>
      </c>
      <c r="G119" s="6">
        <v>44515</v>
      </c>
      <c r="H119" s="3">
        <v>101</v>
      </c>
    </row>
    <row r="120" spans="1:8" ht="14.5" x14ac:dyDescent="0.35">
      <c r="A120" s="3">
        <v>119</v>
      </c>
      <c r="B120" s="4" t="s">
        <v>11</v>
      </c>
      <c r="C120" s="3">
        <v>626</v>
      </c>
      <c r="D120" s="3">
        <v>2022</v>
      </c>
      <c r="E120" s="4" t="s">
        <v>111</v>
      </c>
      <c r="F120" s="4" t="s">
        <v>18</v>
      </c>
      <c r="G120" s="6">
        <v>44515</v>
      </c>
      <c r="H120" s="3">
        <v>102</v>
      </c>
    </row>
    <row r="121" spans="1:8" ht="14.5" x14ac:dyDescent="0.35">
      <c r="A121" s="3">
        <v>120</v>
      </c>
      <c r="B121" s="4" t="s">
        <v>8</v>
      </c>
      <c r="C121" s="3">
        <v>623</v>
      </c>
      <c r="D121" s="3">
        <v>2022</v>
      </c>
      <c r="E121" s="4" t="s">
        <v>112</v>
      </c>
      <c r="F121" s="4" t="s">
        <v>10</v>
      </c>
      <c r="G121" s="6">
        <v>44516</v>
      </c>
      <c r="H121" s="3">
        <v>102</v>
      </c>
    </row>
    <row r="122" spans="1:8" ht="14.5" x14ac:dyDescent="0.35">
      <c r="A122" s="3">
        <v>121</v>
      </c>
      <c r="B122" s="4" t="s">
        <v>11</v>
      </c>
      <c r="C122" s="3">
        <v>549</v>
      </c>
      <c r="D122" s="3">
        <v>1989</v>
      </c>
      <c r="E122" s="4" t="s">
        <v>113</v>
      </c>
      <c r="F122" s="4" t="s">
        <v>45</v>
      </c>
      <c r="G122" s="6">
        <v>44516</v>
      </c>
      <c r="H122" s="3">
        <v>114</v>
      </c>
    </row>
    <row r="123" spans="1:8" ht="14.5" x14ac:dyDescent="0.35">
      <c r="A123" s="3">
        <v>122</v>
      </c>
      <c r="B123" s="4" t="s">
        <v>11</v>
      </c>
      <c r="C123" s="3">
        <v>623</v>
      </c>
      <c r="D123" s="3">
        <v>2017</v>
      </c>
      <c r="E123" s="4" t="s">
        <v>114</v>
      </c>
      <c r="F123" s="4" t="s">
        <v>10</v>
      </c>
      <c r="G123" s="6">
        <v>44517</v>
      </c>
      <c r="H123" s="3">
        <v>105</v>
      </c>
    </row>
    <row r="124" spans="1:8" ht="14.5" x14ac:dyDescent="0.35">
      <c r="A124" s="3">
        <v>123</v>
      </c>
      <c r="B124" s="4" t="s">
        <v>8</v>
      </c>
      <c r="C124" s="3">
        <v>623</v>
      </c>
      <c r="D124" s="3">
        <v>2019</v>
      </c>
      <c r="E124" s="4" t="s">
        <v>115</v>
      </c>
      <c r="F124" s="4" t="s">
        <v>10</v>
      </c>
      <c r="G124" s="6">
        <v>44518</v>
      </c>
      <c r="H124" s="3">
        <v>108</v>
      </c>
    </row>
    <row r="125" spans="1:8" ht="14.5" x14ac:dyDescent="0.35">
      <c r="A125" s="3">
        <v>124</v>
      </c>
      <c r="B125" s="4" t="s">
        <v>16</v>
      </c>
      <c r="C125" s="3">
        <v>561</v>
      </c>
      <c r="D125" s="3">
        <v>2008</v>
      </c>
      <c r="E125" s="4" t="s">
        <v>116</v>
      </c>
      <c r="F125" s="4" t="s">
        <v>69</v>
      </c>
      <c r="G125" s="6">
        <v>44521</v>
      </c>
      <c r="H125" s="3">
        <v>102</v>
      </c>
    </row>
    <row r="126" spans="1:8" ht="14.5" x14ac:dyDescent="0.35">
      <c r="A126" s="3">
        <v>125</v>
      </c>
      <c r="B126" s="4" t="s">
        <v>25</v>
      </c>
      <c r="C126" s="3">
        <v>585</v>
      </c>
      <c r="D126" s="3">
        <v>2008</v>
      </c>
      <c r="E126" s="4" t="s">
        <v>117</v>
      </c>
      <c r="F126" s="4" t="s">
        <v>69</v>
      </c>
      <c r="G126" s="6">
        <v>44521</v>
      </c>
      <c r="H126" s="3">
        <v>102</v>
      </c>
    </row>
    <row r="127" spans="1:8" ht="14.5" x14ac:dyDescent="0.35">
      <c r="A127" s="3">
        <v>126</v>
      </c>
      <c r="B127" s="4" t="s">
        <v>8</v>
      </c>
      <c r="C127" s="3">
        <v>623</v>
      </c>
      <c r="D127" s="3">
        <v>1996</v>
      </c>
      <c r="E127" s="4" t="s">
        <v>65</v>
      </c>
      <c r="F127" s="4" t="s">
        <v>45</v>
      </c>
      <c r="G127" s="6">
        <v>44522</v>
      </c>
      <c r="H127" s="3">
        <v>114</v>
      </c>
    </row>
    <row r="128" spans="1:8" ht="14.5" x14ac:dyDescent="0.35">
      <c r="A128" s="3">
        <v>127</v>
      </c>
      <c r="B128" s="4" t="s">
        <v>11</v>
      </c>
      <c r="C128" s="3">
        <v>623</v>
      </c>
      <c r="D128" s="3">
        <v>2000</v>
      </c>
      <c r="E128" s="4" t="s">
        <v>118</v>
      </c>
      <c r="F128" s="4" t="s">
        <v>10</v>
      </c>
      <c r="G128" s="6">
        <v>44522</v>
      </c>
      <c r="H128" s="3">
        <v>102</v>
      </c>
    </row>
    <row r="129" spans="1:8" ht="14.5" x14ac:dyDescent="0.35">
      <c r="A129" s="3">
        <v>128</v>
      </c>
      <c r="B129" s="4" t="s">
        <v>11</v>
      </c>
      <c r="C129" s="3">
        <v>549</v>
      </c>
      <c r="D129" s="3">
        <v>1994</v>
      </c>
      <c r="E129" s="4" t="s">
        <v>119</v>
      </c>
      <c r="F129" s="4" t="s">
        <v>32</v>
      </c>
      <c r="G129" s="6">
        <v>44522</v>
      </c>
      <c r="H129" s="3">
        <v>114</v>
      </c>
    </row>
    <row r="130" spans="1:8" ht="14.5" x14ac:dyDescent="0.35">
      <c r="A130" s="3">
        <v>129</v>
      </c>
      <c r="B130" s="4" t="s">
        <v>8</v>
      </c>
      <c r="C130" s="3">
        <v>623</v>
      </c>
      <c r="D130" s="3">
        <v>1998</v>
      </c>
      <c r="E130" s="4" t="s">
        <v>120</v>
      </c>
      <c r="F130" s="4" t="s">
        <v>45</v>
      </c>
      <c r="G130" s="6">
        <v>44522</v>
      </c>
      <c r="H130" s="3">
        <v>111</v>
      </c>
    </row>
    <row r="131" spans="1:8" ht="14.5" x14ac:dyDescent="0.35">
      <c r="A131" s="3">
        <v>130</v>
      </c>
      <c r="B131" s="4" t="s">
        <v>8</v>
      </c>
      <c r="C131" s="3">
        <v>623</v>
      </c>
      <c r="D131" s="3">
        <v>2019</v>
      </c>
      <c r="E131" s="4" t="s">
        <v>121</v>
      </c>
      <c r="F131" s="4" t="s">
        <v>45</v>
      </c>
      <c r="G131" s="6">
        <v>44522</v>
      </c>
      <c r="H131" s="3">
        <v>101</v>
      </c>
    </row>
    <row r="132" spans="1:8" ht="14.5" x14ac:dyDescent="0.35">
      <c r="A132" s="3">
        <v>131</v>
      </c>
      <c r="B132" s="4" t="s">
        <v>16</v>
      </c>
      <c r="C132" s="3">
        <v>565</v>
      </c>
      <c r="D132" s="3">
        <v>2002</v>
      </c>
      <c r="E132" s="4" t="s">
        <v>122</v>
      </c>
      <c r="F132" s="4" t="s">
        <v>123</v>
      </c>
      <c r="G132" s="6">
        <v>44524</v>
      </c>
      <c r="H132" s="3">
        <v>101</v>
      </c>
    </row>
    <row r="133" spans="1:8" ht="14.5" x14ac:dyDescent="0.35">
      <c r="A133" s="3">
        <v>132</v>
      </c>
      <c r="B133" s="4" t="s">
        <v>8</v>
      </c>
      <c r="C133" s="3">
        <v>623</v>
      </c>
      <c r="D133" s="3">
        <v>2019</v>
      </c>
      <c r="E133" s="4" t="s">
        <v>30</v>
      </c>
      <c r="F133" s="4" t="s">
        <v>10</v>
      </c>
      <c r="G133" s="6">
        <v>44524</v>
      </c>
      <c r="H133" s="3">
        <v>104</v>
      </c>
    </row>
    <row r="134" spans="1:8" ht="14.5" x14ac:dyDescent="0.35">
      <c r="A134" s="3">
        <v>133</v>
      </c>
      <c r="B134" s="4" t="s">
        <v>8</v>
      </c>
      <c r="C134" s="3">
        <v>623</v>
      </c>
      <c r="D134" s="3">
        <v>2022</v>
      </c>
      <c r="E134" s="4" t="s">
        <v>115</v>
      </c>
      <c r="F134" s="4" t="s">
        <v>10</v>
      </c>
      <c r="G134" s="6">
        <v>44525</v>
      </c>
      <c r="H134" s="3">
        <v>108</v>
      </c>
    </row>
    <row r="135" spans="1:8" ht="14.5" x14ac:dyDescent="0.35">
      <c r="A135" s="3">
        <v>134</v>
      </c>
      <c r="B135" s="4" t="s">
        <v>8</v>
      </c>
      <c r="C135" s="3">
        <v>623</v>
      </c>
      <c r="D135" s="3">
        <v>2019</v>
      </c>
      <c r="E135" s="4" t="s">
        <v>124</v>
      </c>
      <c r="F135" s="4" t="s">
        <v>10</v>
      </c>
      <c r="G135" s="6">
        <v>44525</v>
      </c>
      <c r="H135" s="3">
        <v>104</v>
      </c>
    </row>
    <row r="136" spans="1:8" ht="14.5" x14ac:dyDescent="0.35">
      <c r="A136" s="3">
        <v>135</v>
      </c>
      <c r="B136" s="4" t="s">
        <v>8</v>
      </c>
      <c r="C136" s="3">
        <v>623</v>
      </c>
      <c r="D136" s="3">
        <v>1980</v>
      </c>
      <c r="E136" s="4" t="s">
        <v>125</v>
      </c>
      <c r="F136" s="4" t="s">
        <v>45</v>
      </c>
      <c r="G136" s="6">
        <v>44525</v>
      </c>
      <c r="H136" s="3">
        <v>103</v>
      </c>
    </row>
    <row r="137" spans="1:8" ht="14.5" x14ac:dyDescent="0.35">
      <c r="A137" s="3">
        <v>136</v>
      </c>
      <c r="B137" s="4" t="s">
        <v>8</v>
      </c>
      <c r="C137" s="3">
        <v>623</v>
      </c>
      <c r="D137" s="3">
        <v>2019</v>
      </c>
      <c r="E137" s="4" t="s">
        <v>23</v>
      </c>
      <c r="F137" s="4" t="s">
        <v>10</v>
      </c>
      <c r="G137" s="6">
        <v>44525</v>
      </c>
      <c r="H137" s="3">
        <v>115</v>
      </c>
    </row>
    <row r="138" spans="1:8" ht="14.5" x14ac:dyDescent="0.35">
      <c r="A138" s="3">
        <v>137</v>
      </c>
      <c r="B138" s="4" t="s">
        <v>8</v>
      </c>
      <c r="C138" s="3">
        <v>616</v>
      </c>
      <c r="D138" s="3">
        <v>2019</v>
      </c>
      <c r="E138" s="4" t="s">
        <v>33</v>
      </c>
      <c r="F138" s="4" t="s">
        <v>10</v>
      </c>
      <c r="G138" s="6">
        <v>44526</v>
      </c>
      <c r="H138" s="3">
        <v>102</v>
      </c>
    </row>
    <row r="139" spans="1:8" ht="14.5" x14ac:dyDescent="0.35">
      <c r="A139" s="3">
        <v>138</v>
      </c>
      <c r="B139" s="4" t="s">
        <v>8</v>
      </c>
      <c r="C139" s="3">
        <v>623</v>
      </c>
      <c r="D139" s="3">
        <v>1962</v>
      </c>
      <c r="E139" s="4" t="s">
        <v>51</v>
      </c>
      <c r="F139" s="4" t="s">
        <v>47</v>
      </c>
      <c r="G139" s="6">
        <v>44526</v>
      </c>
      <c r="H139" s="3">
        <v>114</v>
      </c>
    </row>
    <row r="140" spans="1:8" ht="14.5" x14ac:dyDescent="0.35">
      <c r="A140" s="3">
        <v>139</v>
      </c>
      <c r="B140" s="4" t="s">
        <v>8</v>
      </c>
      <c r="C140" s="3">
        <v>623</v>
      </c>
      <c r="D140" s="3">
        <v>1997</v>
      </c>
      <c r="E140" s="4" t="s">
        <v>126</v>
      </c>
      <c r="F140" s="4" t="s">
        <v>32</v>
      </c>
      <c r="G140" s="6">
        <v>44527</v>
      </c>
      <c r="H140" s="3">
        <v>107</v>
      </c>
    </row>
    <row r="141" spans="1:8" ht="14.5" x14ac:dyDescent="0.35">
      <c r="A141" s="3">
        <v>140</v>
      </c>
      <c r="B141" s="4" t="s">
        <v>8</v>
      </c>
      <c r="C141" s="3">
        <v>514</v>
      </c>
      <c r="D141" s="3">
        <v>2018</v>
      </c>
      <c r="E141" s="4" t="s">
        <v>127</v>
      </c>
      <c r="F141" s="4" t="s">
        <v>10</v>
      </c>
      <c r="G141" s="6">
        <v>44527</v>
      </c>
      <c r="H141" s="3">
        <v>114</v>
      </c>
    </row>
    <row r="142" spans="1:8" ht="14.5" x14ac:dyDescent="0.35">
      <c r="A142" s="3">
        <v>141</v>
      </c>
      <c r="B142" s="4" t="s">
        <v>8</v>
      </c>
      <c r="C142" s="3">
        <v>538</v>
      </c>
      <c r="D142" s="3">
        <v>2019</v>
      </c>
      <c r="E142" s="4" t="s">
        <v>24</v>
      </c>
      <c r="F142" s="4" t="s">
        <v>10</v>
      </c>
      <c r="G142" s="6">
        <v>44529</v>
      </c>
      <c r="H142" s="3">
        <v>109</v>
      </c>
    </row>
    <row r="143" spans="1:8" ht="14.5" x14ac:dyDescent="0.35">
      <c r="A143" s="3">
        <v>142</v>
      </c>
      <c r="B143" s="4" t="s">
        <v>8</v>
      </c>
      <c r="C143" s="3">
        <v>623</v>
      </c>
      <c r="D143" s="3">
        <v>2019</v>
      </c>
      <c r="E143" s="4" t="s">
        <v>128</v>
      </c>
      <c r="F143" s="4" t="s">
        <v>10</v>
      </c>
      <c r="G143" s="6">
        <v>44530</v>
      </c>
      <c r="H143" s="3">
        <v>111</v>
      </c>
    </row>
    <row r="144" spans="1:8" ht="14.5" x14ac:dyDescent="0.35">
      <c r="A144" s="3">
        <v>143</v>
      </c>
      <c r="B144" s="4" t="s">
        <v>11</v>
      </c>
      <c r="C144" s="3">
        <v>623</v>
      </c>
      <c r="D144" s="3">
        <v>2019</v>
      </c>
      <c r="E144" s="4" t="s">
        <v>129</v>
      </c>
      <c r="F144" s="4" t="s">
        <v>10</v>
      </c>
      <c r="G144" s="6">
        <v>44530</v>
      </c>
      <c r="H144" s="3">
        <v>109</v>
      </c>
    </row>
    <row r="145" spans="1:8" ht="14.5" x14ac:dyDescent="0.35">
      <c r="A145" s="3">
        <v>144</v>
      </c>
      <c r="B145" s="4" t="s">
        <v>8</v>
      </c>
      <c r="C145" s="3">
        <v>595</v>
      </c>
      <c r="D145" s="3">
        <v>2019</v>
      </c>
      <c r="E145" s="4" t="s">
        <v>130</v>
      </c>
      <c r="F145" s="4" t="s">
        <v>10</v>
      </c>
      <c r="G145" s="6">
        <v>44530</v>
      </c>
      <c r="H145" s="3">
        <v>102</v>
      </c>
    </row>
    <row r="146" spans="1:8" ht="14.5" x14ac:dyDescent="0.35">
      <c r="A146" s="3">
        <v>145</v>
      </c>
      <c r="B146" s="4" t="s">
        <v>8</v>
      </c>
      <c r="C146" s="3">
        <v>623</v>
      </c>
      <c r="D146" s="3">
        <v>2019</v>
      </c>
      <c r="E146" s="4" t="s">
        <v>92</v>
      </c>
      <c r="F146" s="4" t="s">
        <v>10</v>
      </c>
      <c r="G146" s="5">
        <v>44540</v>
      </c>
      <c r="H146" s="3">
        <v>114</v>
      </c>
    </row>
    <row r="147" spans="1:8" ht="14.5" x14ac:dyDescent="0.35">
      <c r="A147" s="3">
        <v>146</v>
      </c>
      <c r="B147" s="4" t="s">
        <v>37</v>
      </c>
      <c r="C147" s="3">
        <v>623</v>
      </c>
      <c r="D147" s="3">
        <v>2019</v>
      </c>
      <c r="E147" s="4" t="s">
        <v>131</v>
      </c>
      <c r="F147" s="4" t="s">
        <v>10</v>
      </c>
      <c r="G147" s="5">
        <v>44540</v>
      </c>
      <c r="H147" s="3">
        <v>105</v>
      </c>
    </row>
    <row r="148" spans="1:8" ht="14.5" x14ac:dyDescent="0.35">
      <c r="A148" s="3">
        <v>147</v>
      </c>
      <c r="B148" s="4" t="s">
        <v>8</v>
      </c>
      <c r="C148" s="3">
        <v>623</v>
      </c>
      <c r="D148" s="3">
        <v>2019</v>
      </c>
      <c r="E148" s="4" t="s">
        <v>58</v>
      </c>
      <c r="F148" s="4" t="s">
        <v>45</v>
      </c>
      <c r="G148" s="5">
        <v>44540</v>
      </c>
      <c r="H148" s="3">
        <v>102</v>
      </c>
    </row>
    <row r="149" spans="1:8" ht="14.5" x14ac:dyDescent="0.35">
      <c r="A149" s="3">
        <v>148</v>
      </c>
      <c r="B149" s="4" t="s">
        <v>8</v>
      </c>
      <c r="C149" s="3">
        <v>538</v>
      </c>
      <c r="D149" s="3">
        <v>2015</v>
      </c>
      <c r="E149" s="4" t="s">
        <v>33</v>
      </c>
      <c r="F149" s="4" t="s">
        <v>10</v>
      </c>
      <c r="G149" s="5">
        <v>44540</v>
      </c>
      <c r="H149" s="3">
        <v>101</v>
      </c>
    </row>
    <row r="150" spans="1:8" ht="14.5" x14ac:dyDescent="0.35">
      <c r="A150" s="3">
        <v>149</v>
      </c>
      <c r="B150" s="4" t="s">
        <v>37</v>
      </c>
      <c r="C150" s="3">
        <v>514</v>
      </c>
      <c r="D150" s="3">
        <v>2015</v>
      </c>
      <c r="E150" s="4" t="s">
        <v>132</v>
      </c>
      <c r="F150" s="4" t="s">
        <v>10</v>
      </c>
      <c r="G150" s="5">
        <v>44540</v>
      </c>
      <c r="H150" s="3">
        <v>102</v>
      </c>
    </row>
    <row r="151" spans="1:8" ht="14.5" x14ac:dyDescent="0.35">
      <c r="A151" s="3">
        <v>150</v>
      </c>
      <c r="B151" s="4" t="s">
        <v>61</v>
      </c>
      <c r="C151" s="3">
        <v>519</v>
      </c>
      <c r="D151" s="3">
        <v>2008</v>
      </c>
      <c r="E151" s="4" t="s">
        <v>133</v>
      </c>
      <c r="F151" s="4" t="s">
        <v>32</v>
      </c>
      <c r="G151" s="5">
        <v>44541</v>
      </c>
      <c r="H151" s="3">
        <v>104</v>
      </c>
    </row>
    <row r="152" spans="1:8" ht="14.5" x14ac:dyDescent="0.35">
      <c r="A152" s="3">
        <v>151</v>
      </c>
      <c r="B152" s="4" t="s">
        <v>8</v>
      </c>
      <c r="C152" s="3">
        <v>595</v>
      </c>
      <c r="D152" s="3">
        <v>2015</v>
      </c>
      <c r="E152" s="4" t="s">
        <v>124</v>
      </c>
      <c r="F152" s="4" t="s">
        <v>10</v>
      </c>
      <c r="G152" s="5">
        <v>44541</v>
      </c>
      <c r="H152" s="3">
        <v>103</v>
      </c>
    </row>
    <row r="153" spans="1:8" ht="14.5" x14ac:dyDescent="0.35">
      <c r="A153" s="3">
        <v>152</v>
      </c>
      <c r="B153" s="4" t="s">
        <v>8</v>
      </c>
      <c r="C153" s="3">
        <v>623</v>
      </c>
      <c r="D153" s="3">
        <v>2015</v>
      </c>
      <c r="E153" s="4" t="s">
        <v>134</v>
      </c>
      <c r="F153" s="4" t="s">
        <v>10</v>
      </c>
      <c r="G153" s="5">
        <v>44541</v>
      </c>
      <c r="H153" s="3">
        <v>105</v>
      </c>
    </row>
    <row r="154" spans="1:8" ht="14.5" x14ac:dyDescent="0.35">
      <c r="A154" s="3">
        <v>153</v>
      </c>
      <c r="B154" s="4" t="s">
        <v>8</v>
      </c>
      <c r="C154" s="3">
        <v>623</v>
      </c>
      <c r="D154" s="3">
        <v>2015</v>
      </c>
      <c r="E154" s="4" t="s">
        <v>135</v>
      </c>
      <c r="F154" s="4" t="s">
        <v>10</v>
      </c>
      <c r="G154" s="5">
        <v>44541</v>
      </c>
      <c r="H154" s="3">
        <v>104</v>
      </c>
    </row>
    <row r="155" spans="1:8" ht="14.5" x14ac:dyDescent="0.35">
      <c r="A155" s="3">
        <v>154</v>
      </c>
      <c r="B155" s="4" t="s">
        <v>37</v>
      </c>
      <c r="C155" s="3">
        <v>514</v>
      </c>
      <c r="D155" s="3">
        <v>2015</v>
      </c>
      <c r="E155" s="4" t="s">
        <v>46</v>
      </c>
      <c r="F155" s="4" t="s">
        <v>10</v>
      </c>
      <c r="G155" s="6">
        <v>44543</v>
      </c>
      <c r="H155" s="3">
        <v>102</v>
      </c>
    </row>
    <row r="156" spans="1:8" ht="14.5" x14ac:dyDescent="0.35">
      <c r="A156" s="3">
        <v>155</v>
      </c>
      <c r="B156" s="4" t="s">
        <v>37</v>
      </c>
      <c r="C156" s="3">
        <v>514</v>
      </c>
      <c r="D156" s="3">
        <v>2015</v>
      </c>
      <c r="E156" s="4" t="s">
        <v>46</v>
      </c>
      <c r="F156" s="4" t="s">
        <v>10</v>
      </c>
      <c r="G156" s="6">
        <v>44543</v>
      </c>
      <c r="H156" s="3">
        <v>102</v>
      </c>
    </row>
    <row r="157" spans="1:8" ht="14.5" x14ac:dyDescent="0.35">
      <c r="A157" s="3">
        <v>156</v>
      </c>
      <c r="B157" s="4" t="s">
        <v>37</v>
      </c>
      <c r="C157" s="3">
        <v>514</v>
      </c>
      <c r="D157" s="3">
        <v>2015</v>
      </c>
      <c r="E157" s="4" t="s">
        <v>136</v>
      </c>
      <c r="F157" s="4" t="s">
        <v>10</v>
      </c>
      <c r="G157" s="6">
        <v>44543</v>
      </c>
      <c r="H157" s="3">
        <v>114</v>
      </c>
    </row>
    <row r="158" spans="1:8" ht="14.5" x14ac:dyDescent="0.35">
      <c r="A158" s="3">
        <v>157</v>
      </c>
      <c r="B158" s="4" t="s">
        <v>8</v>
      </c>
      <c r="C158" s="3">
        <v>623</v>
      </c>
      <c r="D158" s="3">
        <v>2015</v>
      </c>
      <c r="E158" s="4" t="s">
        <v>137</v>
      </c>
      <c r="F158" s="4" t="s">
        <v>10</v>
      </c>
      <c r="G158" s="6">
        <v>44543</v>
      </c>
      <c r="H158" s="3">
        <v>114</v>
      </c>
    </row>
    <row r="159" spans="1:8" ht="14.5" x14ac:dyDescent="0.35">
      <c r="A159" s="3">
        <v>158</v>
      </c>
      <c r="B159" s="4" t="s">
        <v>61</v>
      </c>
      <c r="C159" s="3">
        <v>606</v>
      </c>
      <c r="D159" s="3">
        <v>2007</v>
      </c>
      <c r="E159" s="4" t="s">
        <v>138</v>
      </c>
      <c r="F159" s="4" t="s">
        <v>32</v>
      </c>
      <c r="G159" s="6">
        <v>44544</v>
      </c>
      <c r="H159" s="3">
        <v>109</v>
      </c>
    </row>
    <row r="160" spans="1:8" ht="14.5" x14ac:dyDescent="0.35">
      <c r="A160" s="3">
        <v>159</v>
      </c>
      <c r="B160" s="4" t="s">
        <v>8</v>
      </c>
      <c r="C160" s="3">
        <v>623</v>
      </c>
      <c r="D160" s="3">
        <v>2015</v>
      </c>
      <c r="E160" s="4" t="s">
        <v>139</v>
      </c>
      <c r="F160" s="4" t="s">
        <v>10</v>
      </c>
      <c r="G160" s="6">
        <v>44544</v>
      </c>
      <c r="H160" s="3">
        <v>106</v>
      </c>
    </row>
    <row r="161" spans="1:8" ht="14.5" x14ac:dyDescent="0.35">
      <c r="A161" s="3">
        <v>160</v>
      </c>
      <c r="B161" s="4" t="s">
        <v>83</v>
      </c>
      <c r="C161" s="3">
        <v>587</v>
      </c>
      <c r="D161" s="3">
        <v>1989</v>
      </c>
      <c r="E161" s="4" t="s">
        <v>140</v>
      </c>
      <c r="F161" s="4" t="s">
        <v>28</v>
      </c>
      <c r="G161" s="6">
        <v>44544</v>
      </c>
      <c r="H161" s="3">
        <v>109</v>
      </c>
    </row>
    <row r="162" spans="1:8" ht="14.5" x14ac:dyDescent="0.35">
      <c r="A162" s="3">
        <v>161</v>
      </c>
      <c r="B162" s="4" t="s">
        <v>11</v>
      </c>
      <c r="C162" s="3">
        <v>623</v>
      </c>
      <c r="D162" s="3">
        <v>2015</v>
      </c>
      <c r="E162" s="4" t="s">
        <v>141</v>
      </c>
      <c r="F162" s="4" t="s">
        <v>10</v>
      </c>
      <c r="G162" s="6">
        <v>44544</v>
      </c>
      <c r="H162" s="3">
        <v>114</v>
      </c>
    </row>
    <row r="163" spans="1:8" ht="14.5" x14ac:dyDescent="0.35">
      <c r="A163" s="3">
        <v>162</v>
      </c>
      <c r="B163" s="4" t="s">
        <v>37</v>
      </c>
      <c r="C163" s="3">
        <v>514</v>
      </c>
      <c r="D163" s="3">
        <v>2015</v>
      </c>
      <c r="E163" s="4" t="s">
        <v>46</v>
      </c>
      <c r="F163" s="4" t="s">
        <v>10</v>
      </c>
      <c r="G163" s="6">
        <v>44545</v>
      </c>
      <c r="H163" s="3">
        <v>109</v>
      </c>
    </row>
    <row r="164" spans="1:8" ht="14.5" x14ac:dyDescent="0.35">
      <c r="A164" s="3">
        <v>163</v>
      </c>
      <c r="B164" s="4" t="s">
        <v>8</v>
      </c>
      <c r="C164" s="3">
        <v>623</v>
      </c>
      <c r="D164" s="3">
        <v>2015</v>
      </c>
      <c r="E164" s="4" t="s">
        <v>142</v>
      </c>
      <c r="F164" s="4" t="s">
        <v>10</v>
      </c>
      <c r="G164" s="6">
        <v>44545</v>
      </c>
      <c r="H164" s="3">
        <v>101</v>
      </c>
    </row>
    <row r="165" spans="1:8" ht="14.5" x14ac:dyDescent="0.35">
      <c r="A165" s="3">
        <v>164</v>
      </c>
      <c r="B165" s="4" t="s">
        <v>8</v>
      </c>
      <c r="C165" s="3">
        <v>623</v>
      </c>
      <c r="D165" s="3">
        <v>2015</v>
      </c>
      <c r="E165" s="4" t="s">
        <v>53</v>
      </c>
      <c r="F165" s="4" t="s">
        <v>10</v>
      </c>
      <c r="G165" s="6">
        <v>44545</v>
      </c>
      <c r="H165" s="3">
        <v>109</v>
      </c>
    </row>
    <row r="166" spans="1:8" ht="14.5" x14ac:dyDescent="0.35">
      <c r="A166" s="3">
        <v>165</v>
      </c>
      <c r="B166" s="4" t="s">
        <v>37</v>
      </c>
      <c r="C166" s="3">
        <v>514</v>
      </c>
      <c r="D166" s="3">
        <v>2015</v>
      </c>
      <c r="E166" s="4" t="s">
        <v>46</v>
      </c>
      <c r="F166" s="4" t="s">
        <v>10</v>
      </c>
      <c r="G166" s="6">
        <v>44546</v>
      </c>
      <c r="H166" s="3">
        <v>103</v>
      </c>
    </row>
    <row r="167" spans="1:8" ht="14.5" x14ac:dyDescent="0.35">
      <c r="A167" s="3">
        <v>166</v>
      </c>
      <c r="B167" s="4" t="s">
        <v>37</v>
      </c>
      <c r="C167" s="3">
        <v>514</v>
      </c>
      <c r="D167" s="3">
        <v>2015</v>
      </c>
      <c r="E167" s="4" t="s">
        <v>46</v>
      </c>
      <c r="F167" s="4" t="s">
        <v>10</v>
      </c>
      <c r="G167" s="6">
        <v>44547</v>
      </c>
      <c r="H167" s="3">
        <v>102</v>
      </c>
    </row>
    <row r="168" spans="1:8" ht="14.5" x14ac:dyDescent="0.35">
      <c r="A168" s="3">
        <v>167</v>
      </c>
      <c r="B168" s="4" t="s">
        <v>61</v>
      </c>
      <c r="C168" s="3">
        <v>525</v>
      </c>
      <c r="D168" s="3">
        <v>1972</v>
      </c>
      <c r="E168" s="4" t="s">
        <v>143</v>
      </c>
      <c r="F168" s="4" t="s">
        <v>69</v>
      </c>
      <c r="G168" s="6">
        <v>44547</v>
      </c>
      <c r="H168" s="3">
        <v>104</v>
      </c>
    </row>
    <row r="169" spans="1:8" ht="14.5" x14ac:dyDescent="0.35">
      <c r="A169" s="3">
        <v>168</v>
      </c>
      <c r="B169" s="4" t="s">
        <v>37</v>
      </c>
      <c r="C169" s="3">
        <v>623</v>
      </c>
      <c r="D169" s="3">
        <v>2015</v>
      </c>
      <c r="E169" s="4" t="s">
        <v>144</v>
      </c>
      <c r="F169" s="4" t="s">
        <v>32</v>
      </c>
      <c r="G169" s="6">
        <v>44547</v>
      </c>
      <c r="H169" s="3">
        <v>107</v>
      </c>
    </row>
    <row r="170" spans="1:8" ht="14.5" x14ac:dyDescent="0.35">
      <c r="A170" s="3">
        <v>169</v>
      </c>
      <c r="B170" s="4" t="s">
        <v>8</v>
      </c>
      <c r="C170" s="3">
        <v>623</v>
      </c>
      <c r="D170" s="3">
        <v>2015</v>
      </c>
      <c r="E170" s="4" t="s">
        <v>145</v>
      </c>
      <c r="F170" s="4" t="s">
        <v>10</v>
      </c>
      <c r="G170" s="6">
        <v>44547</v>
      </c>
      <c r="H170" s="3">
        <v>103</v>
      </c>
    </row>
    <row r="171" spans="1:8" ht="14.5" x14ac:dyDescent="0.35">
      <c r="A171" s="3">
        <v>170</v>
      </c>
      <c r="B171" s="4" t="s">
        <v>146</v>
      </c>
      <c r="C171" s="3">
        <v>565</v>
      </c>
      <c r="D171" s="3">
        <v>2020</v>
      </c>
      <c r="E171" s="4" t="s">
        <v>147</v>
      </c>
      <c r="F171" s="4" t="s">
        <v>123</v>
      </c>
      <c r="G171" s="6">
        <v>44548</v>
      </c>
      <c r="H171" s="3">
        <v>114</v>
      </c>
    </row>
    <row r="172" spans="1:8" ht="14.5" x14ac:dyDescent="0.35">
      <c r="A172" s="3">
        <v>171</v>
      </c>
      <c r="B172" s="4" t="s">
        <v>8</v>
      </c>
      <c r="C172" s="3">
        <v>623</v>
      </c>
      <c r="D172" s="3">
        <v>2016</v>
      </c>
      <c r="E172" s="4" t="s">
        <v>92</v>
      </c>
      <c r="F172" s="4" t="s">
        <v>10</v>
      </c>
      <c r="G172" s="6">
        <v>44549</v>
      </c>
      <c r="H172" s="3">
        <v>114</v>
      </c>
    </row>
    <row r="173" spans="1:8" ht="14.5" x14ac:dyDescent="0.35">
      <c r="A173" s="3">
        <v>172</v>
      </c>
      <c r="B173" s="4" t="s">
        <v>8</v>
      </c>
      <c r="C173" s="3">
        <v>623</v>
      </c>
      <c r="D173" s="3">
        <v>2019</v>
      </c>
      <c r="E173" s="4" t="s">
        <v>148</v>
      </c>
      <c r="F173" s="4" t="s">
        <v>10</v>
      </c>
      <c r="G173" s="6">
        <v>44549</v>
      </c>
      <c r="H173" s="3">
        <v>115</v>
      </c>
    </row>
    <row r="174" spans="1:8" ht="14.5" x14ac:dyDescent="0.35">
      <c r="A174" s="3">
        <v>173</v>
      </c>
      <c r="B174" s="4" t="s">
        <v>8</v>
      </c>
      <c r="C174" s="3">
        <v>623</v>
      </c>
      <c r="D174" s="3">
        <v>1998</v>
      </c>
      <c r="E174" s="4" t="s">
        <v>36</v>
      </c>
      <c r="F174" s="4" t="s">
        <v>10</v>
      </c>
      <c r="G174" s="6">
        <v>44549</v>
      </c>
      <c r="H174" s="3">
        <v>107</v>
      </c>
    </row>
    <row r="175" spans="1:8" ht="14.5" x14ac:dyDescent="0.35">
      <c r="A175" s="3">
        <v>174</v>
      </c>
      <c r="B175" s="4" t="s">
        <v>11</v>
      </c>
      <c r="C175" s="3">
        <v>623</v>
      </c>
      <c r="D175" s="3">
        <v>2012</v>
      </c>
      <c r="E175" s="4" t="s">
        <v>20</v>
      </c>
      <c r="F175" s="4" t="s">
        <v>10</v>
      </c>
      <c r="G175" s="6">
        <v>44549</v>
      </c>
      <c r="H175" s="3">
        <v>102</v>
      </c>
    </row>
    <row r="176" spans="1:8" ht="14.5" x14ac:dyDescent="0.35">
      <c r="A176" s="3">
        <v>175</v>
      </c>
      <c r="B176" s="4" t="s">
        <v>37</v>
      </c>
      <c r="C176" s="3">
        <v>623</v>
      </c>
      <c r="D176" s="3">
        <v>2019</v>
      </c>
      <c r="E176" s="4" t="s">
        <v>149</v>
      </c>
      <c r="F176" s="4" t="s">
        <v>10</v>
      </c>
      <c r="G176" s="6">
        <v>44550</v>
      </c>
      <c r="H176" s="3">
        <v>102</v>
      </c>
    </row>
    <row r="177" spans="1:8" ht="14.5" x14ac:dyDescent="0.35">
      <c r="A177" s="3">
        <v>176</v>
      </c>
      <c r="B177" s="4" t="s">
        <v>8</v>
      </c>
      <c r="C177" s="3">
        <v>562</v>
      </c>
      <c r="D177" s="3">
        <v>2019</v>
      </c>
      <c r="E177" s="4" t="s">
        <v>150</v>
      </c>
      <c r="F177" s="4" t="s">
        <v>10</v>
      </c>
      <c r="G177" s="6">
        <v>44551</v>
      </c>
      <c r="H177" s="3">
        <v>104</v>
      </c>
    </row>
    <row r="178" spans="1:8" ht="14.5" x14ac:dyDescent="0.35">
      <c r="A178" s="3">
        <v>177</v>
      </c>
      <c r="B178" s="4" t="s">
        <v>8</v>
      </c>
      <c r="C178" s="3">
        <v>562</v>
      </c>
      <c r="D178" s="3">
        <v>2019</v>
      </c>
      <c r="E178" s="4" t="s">
        <v>151</v>
      </c>
      <c r="F178" s="4" t="s">
        <v>10</v>
      </c>
      <c r="G178" s="6">
        <v>44551</v>
      </c>
      <c r="H178" s="3">
        <v>103</v>
      </c>
    </row>
    <row r="179" spans="1:8" ht="14.5" x14ac:dyDescent="0.35">
      <c r="A179" s="3">
        <v>178</v>
      </c>
      <c r="B179" s="4" t="s">
        <v>11</v>
      </c>
      <c r="C179" s="3">
        <v>623</v>
      </c>
      <c r="D179" s="3">
        <v>2019</v>
      </c>
      <c r="E179" s="4" t="s">
        <v>79</v>
      </c>
      <c r="F179" s="4" t="s">
        <v>10</v>
      </c>
      <c r="G179" s="6">
        <v>44551</v>
      </c>
      <c r="H179" s="3">
        <v>102</v>
      </c>
    </row>
    <row r="180" spans="1:8" ht="14.5" x14ac:dyDescent="0.35">
      <c r="A180" s="3">
        <v>179</v>
      </c>
      <c r="B180" s="4" t="s">
        <v>37</v>
      </c>
      <c r="C180" s="3">
        <v>562</v>
      </c>
      <c r="D180" s="3">
        <v>2019</v>
      </c>
      <c r="E180" s="4" t="s">
        <v>152</v>
      </c>
      <c r="F180" s="4" t="s">
        <v>10</v>
      </c>
      <c r="G180" s="6">
        <v>44552</v>
      </c>
      <c r="H180" s="3">
        <v>103</v>
      </c>
    </row>
    <row r="181" spans="1:8" ht="14.5" x14ac:dyDescent="0.35">
      <c r="A181" s="3">
        <v>180</v>
      </c>
      <c r="B181" s="4" t="s">
        <v>25</v>
      </c>
      <c r="C181" s="3">
        <v>629</v>
      </c>
      <c r="D181" s="3">
        <v>1963</v>
      </c>
      <c r="E181" s="4" t="s">
        <v>153</v>
      </c>
      <c r="F181" s="4" t="s">
        <v>154</v>
      </c>
      <c r="G181" s="6">
        <v>44553</v>
      </c>
      <c r="H181" s="3">
        <v>115</v>
      </c>
    </row>
    <row r="182" spans="1:8" ht="14.5" x14ac:dyDescent="0.35">
      <c r="A182" s="3">
        <v>181</v>
      </c>
      <c r="B182" s="4" t="s">
        <v>8</v>
      </c>
      <c r="C182" s="3">
        <v>514</v>
      </c>
      <c r="D182" s="3">
        <v>2019</v>
      </c>
      <c r="E182" s="4" t="s">
        <v>155</v>
      </c>
      <c r="F182" s="4" t="s">
        <v>10</v>
      </c>
      <c r="G182" s="6">
        <v>44553</v>
      </c>
      <c r="H182" s="3">
        <v>114</v>
      </c>
    </row>
    <row r="183" spans="1:8" ht="14.5" x14ac:dyDescent="0.35">
      <c r="A183" s="3">
        <v>182</v>
      </c>
      <c r="B183" s="4" t="s">
        <v>8</v>
      </c>
      <c r="C183" s="3">
        <v>623</v>
      </c>
      <c r="D183" s="3">
        <v>2019</v>
      </c>
      <c r="E183" s="4" t="s">
        <v>156</v>
      </c>
      <c r="F183" s="4" t="s">
        <v>10</v>
      </c>
      <c r="G183" s="6">
        <v>44555</v>
      </c>
      <c r="H183" s="3">
        <v>104</v>
      </c>
    </row>
    <row r="184" spans="1:8" ht="14.5" x14ac:dyDescent="0.35">
      <c r="A184" s="3">
        <v>183</v>
      </c>
      <c r="B184" s="4" t="s">
        <v>16</v>
      </c>
      <c r="C184" s="3">
        <v>611</v>
      </c>
      <c r="D184" s="3">
        <v>2005</v>
      </c>
      <c r="E184" s="4" t="s">
        <v>157</v>
      </c>
      <c r="F184" s="4" t="s">
        <v>66</v>
      </c>
      <c r="G184" s="6">
        <v>44555</v>
      </c>
      <c r="H184" s="3">
        <v>114</v>
      </c>
    </row>
    <row r="185" spans="1:8" ht="14.5" x14ac:dyDescent="0.35">
      <c r="A185" s="3">
        <v>184</v>
      </c>
      <c r="B185" s="4" t="s">
        <v>8</v>
      </c>
      <c r="C185" s="3">
        <v>599</v>
      </c>
      <c r="D185" s="3">
        <v>2019</v>
      </c>
      <c r="E185" s="4" t="s">
        <v>33</v>
      </c>
      <c r="F185" s="4" t="s">
        <v>45</v>
      </c>
      <c r="G185" s="6">
        <v>44555</v>
      </c>
      <c r="H185" s="3">
        <v>101</v>
      </c>
    </row>
    <row r="186" spans="1:8" ht="14.5" x14ac:dyDescent="0.35">
      <c r="A186" s="3">
        <v>185</v>
      </c>
      <c r="B186" s="4" t="s">
        <v>8</v>
      </c>
      <c r="C186" s="3">
        <v>549</v>
      </c>
      <c r="D186" s="3">
        <v>1990</v>
      </c>
      <c r="E186" s="4" t="s">
        <v>46</v>
      </c>
      <c r="F186" s="4" t="s">
        <v>28</v>
      </c>
      <c r="G186" s="6">
        <v>44556</v>
      </c>
      <c r="H186" s="3">
        <v>109</v>
      </c>
    </row>
    <row r="187" spans="1:8" ht="14.5" x14ac:dyDescent="0.35">
      <c r="A187" s="3">
        <v>186</v>
      </c>
      <c r="B187" s="4" t="s">
        <v>8</v>
      </c>
      <c r="C187" s="3">
        <v>623</v>
      </c>
      <c r="D187" s="3">
        <v>1981</v>
      </c>
      <c r="E187" s="4" t="s">
        <v>51</v>
      </c>
      <c r="F187" s="4" t="s">
        <v>45</v>
      </c>
      <c r="G187" s="6">
        <v>44556</v>
      </c>
      <c r="H187" s="3">
        <v>102</v>
      </c>
    </row>
    <row r="188" spans="1:8" ht="14.5" x14ac:dyDescent="0.35">
      <c r="A188" s="3">
        <v>187</v>
      </c>
      <c r="B188" s="4" t="s">
        <v>8</v>
      </c>
      <c r="C188" s="3">
        <v>623</v>
      </c>
      <c r="D188" s="3">
        <v>2019</v>
      </c>
      <c r="E188" s="4" t="s">
        <v>53</v>
      </c>
      <c r="F188" s="4" t="s">
        <v>10</v>
      </c>
      <c r="G188" s="6">
        <v>44557</v>
      </c>
      <c r="H188" s="3">
        <v>106</v>
      </c>
    </row>
    <row r="189" spans="1:8" ht="14.5" x14ac:dyDescent="0.35">
      <c r="A189" s="3">
        <v>188</v>
      </c>
      <c r="B189" s="4" t="s">
        <v>11</v>
      </c>
      <c r="C189" s="3">
        <v>513</v>
      </c>
      <c r="D189" s="3">
        <v>2019</v>
      </c>
      <c r="E189" s="4" t="s">
        <v>158</v>
      </c>
      <c r="F189" s="4" t="s">
        <v>10</v>
      </c>
      <c r="G189" s="6">
        <v>44557</v>
      </c>
      <c r="H189" s="3">
        <v>102</v>
      </c>
    </row>
    <row r="190" spans="1:8" ht="14.5" x14ac:dyDescent="0.35">
      <c r="A190" s="3">
        <v>189</v>
      </c>
      <c r="B190" s="4" t="s">
        <v>8</v>
      </c>
      <c r="C190" s="3">
        <v>623</v>
      </c>
      <c r="D190" s="3">
        <v>2019</v>
      </c>
      <c r="E190" s="4" t="s">
        <v>159</v>
      </c>
      <c r="F190" s="4" t="s">
        <v>10</v>
      </c>
      <c r="G190" s="6">
        <v>44558</v>
      </c>
      <c r="H190" s="3">
        <v>114</v>
      </c>
    </row>
    <row r="191" spans="1:8" ht="14.5" x14ac:dyDescent="0.35">
      <c r="A191" s="3">
        <v>190</v>
      </c>
      <c r="B191" s="4" t="s">
        <v>8</v>
      </c>
      <c r="C191" s="3">
        <v>623</v>
      </c>
      <c r="D191" s="3">
        <v>1996</v>
      </c>
      <c r="E191" s="4" t="s">
        <v>160</v>
      </c>
      <c r="F191" s="4" t="s">
        <v>32</v>
      </c>
      <c r="G191" s="6">
        <v>44558</v>
      </c>
      <c r="H191" s="3">
        <v>114</v>
      </c>
    </row>
    <row r="192" spans="1:8" ht="14.5" x14ac:dyDescent="0.35">
      <c r="A192" s="3">
        <v>191</v>
      </c>
      <c r="B192" s="4" t="s">
        <v>8</v>
      </c>
      <c r="C192" s="3">
        <v>623</v>
      </c>
      <c r="D192" s="3">
        <v>2019</v>
      </c>
      <c r="E192" s="4" t="s">
        <v>161</v>
      </c>
      <c r="F192" s="4" t="s">
        <v>10</v>
      </c>
      <c r="G192" s="6">
        <v>44559</v>
      </c>
      <c r="H192" s="3">
        <v>106</v>
      </c>
    </row>
    <row r="193" spans="1:8" ht="14.5" x14ac:dyDescent="0.35">
      <c r="A193" s="3">
        <v>192</v>
      </c>
      <c r="B193" s="4" t="s">
        <v>8</v>
      </c>
      <c r="C193" s="3">
        <v>562</v>
      </c>
      <c r="D193" s="3">
        <v>2019</v>
      </c>
      <c r="E193" s="4" t="s">
        <v>162</v>
      </c>
      <c r="F193" s="4" t="s">
        <v>10</v>
      </c>
      <c r="G193" s="6">
        <v>44559</v>
      </c>
      <c r="H193" s="3">
        <v>103</v>
      </c>
    </row>
    <row r="194" spans="1:8" ht="14.5" x14ac:dyDescent="0.35">
      <c r="A194" s="3">
        <v>193</v>
      </c>
      <c r="B194" s="4" t="s">
        <v>8</v>
      </c>
      <c r="C194" s="3">
        <v>623</v>
      </c>
      <c r="D194" s="3">
        <v>2019</v>
      </c>
      <c r="E194" s="4" t="s">
        <v>100</v>
      </c>
      <c r="F194" s="4" t="s">
        <v>10</v>
      </c>
      <c r="G194" s="6">
        <v>44560</v>
      </c>
      <c r="H194" s="3">
        <v>102</v>
      </c>
    </row>
    <row r="195" spans="1:8" ht="14.5" x14ac:dyDescent="0.35">
      <c r="A195" s="3">
        <v>194</v>
      </c>
      <c r="B195" s="4" t="s">
        <v>61</v>
      </c>
      <c r="C195" s="3">
        <v>623</v>
      </c>
      <c r="D195" s="3">
        <v>2006</v>
      </c>
      <c r="E195" s="4" t="s">
        <v>163</v>
      </c>
      <c r="F195" s="4" t="s">
        <v>32</v>
      </c>
      <c r="G195" s="6">
        <v>44560</v>
      </c>
      <c r="H195" s="3">
        <v>102</v>
      </c>
    </row>
    <row r="196" spans="1:8" ht="14.5" x14ac:dyDescent="0.35">
      <c r="A196" s="3">
        <v>195</v>
      </c>
      <c r="B196" s="4" t="s">
        <v>37</v>
      </c>
      <c r="C196" s="3">
        <v>514</v>
      </c>
      <c r="D196" s="3">
        <v>2015</v>
      </c>
      <c r="E196" s="4" t="s">
        <v>46</v>
      </c>
      <c r="F196" s="4" t="s">
        <v>10</v>
      </c>
      <c r="G196" s="6">
        <v>44560</v>
      </c>
      <c r="H196" s="3">
        <v>102</v>
      </c>
    </row>
    <row r="197" spans="1:8" ht="14.5" x14ac:dyDescent="0.35">
      <c r="A197" s="3">
        <v>196</v>
      </c>
      <c r="B197" s="4" t="s">
        <v>8</v>
      </c>
      <c r="C197" s="3">
        <v>623</v>
      </c>
      <c r="D197" s="3">
        <v>1979</v>
      </c>
      <c r="E197" s="4" t="s">
        <v>51</v>
      </c>
      <c r="F197" s="4" t="s">
        <v>47</v>
      </c>
      <c r="G197" s="6">
        <v>44561</v>
      </c>
      <c r="H197" s="3">
        <v>114</v>
      </c>
    </row>
    <row r="198" spans="1:8" ht="14.5" x14ac:dyDescent="0.35">
      <c r="A198" s="3">
        <v>197</v>
      </c>
      <c r="B198" s="4" t="s">
        <v>37</v>
      </c>
      <c r="C198" s="3">
        <v>623</v>
      </c>
      <c r="D198" s="3">
        <v>2019</v>
      </c>
      <c r="E198" s="4" t="s">
        <v>164</v>
      </c>
      <c r="F198" s="4" t="s">
        <v>10</v>
      </c>
      <c r="G198" s="6">
        <v>44561</v>
      </c>
      <c r="H198" s="3">
        <v>111</v>
      </c>
    </row>
    <row r="199" spans="1:8" ht="14.5" x14ac:dyDescent="0.35">
      <c r="A199" s="3">
        <v>198</v>
      </c>
      <c r="B199" s="4" t="s">
        <v>8</v>
      </c>
      <c r="C199" s="3">
        <v>623</v>
      </c>
      <c r="D199" s="3">
        <v>1999</v>
      </c>
      <c r="E199" s="4" t="s">
        <v>36</v>
      </c>
      <c r="F199" s="4" t="s">
        <v>10</v>
      </c>
      <c r="G199" s="6">
        <v>44561</v>
      </c>
      <c r="H199" s="3">
        <v>102</v>
      </c>
    </row>
    <row r="200" spans="1:8" ht="14.5" x14ac:dyDescent="0.35">
      <c r="A200" s="3">
        <v>199</v>
      </c>
      <c r="B200" s="4" t="s">
        <v>8</v>
      </c>
      <c r="C200" s="3">
        <v>623</v>
      </c>
      <c r="D200" s="3">
        <v>1998</v>
      </c>
      <c r="E200" s="4" t="s">
        <v>165</v>
      </c>
      <c r="F200" s="4" t="s">
        <v>10</v>
      </c>
      <c r="G200" s="6">
        <v>44561</v>
      </c>
      <c r="H200" s="3">
        <v>106</v>
      </c>
    </row>
    <row r="201" spans="1:8" ht="14.5" x14ac:dyDescent="0.35">
      <c r="A201" s="3">
        <v>200</v>
      </c>
      <c r="B201" s="4" t="s">
        <v>8</v>
      </c>
      <c r="C201" s="3">
        <v>623</v>
      </c>
      <c r="D201" s="3">
        <v>2001</v>
      </c>
      <c r="E201" s="4" t="s">
        <v>166</v>
      </c>
      <c r="F201" s="4" t="s">
        <v>45</v>
      </c>
      <c r="G201" s="6">
        <v>44561</v>
      </c>
      <c r="H201" s="3">
        <v>115</v>
      </c>
    </row>
    <row r="202" spans="1:8" ht="14.5" x14ac:dyDescent="0.35">
      <c r="A202" s="3">
        <v>201</v>
      </c>
      <c r="B202" s="4" t="s">
        <v>37</v>
      </c>
      <c r="C202" s="3">
        <v>623</v>
      </c>
      <c r="D202" s="3">
        <v>2019</v>
      </c>
      <c r="E202" s="4" t="s">
        <v>73</v>
      </c>
      <c r="F202" s="4" t="s">
        <v>10</v>
      </c>
      <c r="G202" s="6">
        <v>44561</v>
      </c>
      <c r="H202" s="3">
        <v>101</v>
      </c>
    </row>
    <row r="203" spans="1:8" ht="14.5" x14ac:dyDescent="0.35">
      <c r="A203" s="3">
        <v>202</v>
      </c>
      <c r="B203" s="4" t="s">
        <v>8</v>
      </c>
      <c r="C203" s="3">
        <v>623</v>
      </c>
      <c r="D203" s="3">
        <v>1977</v>
      </c>
      <c r="E203" s="4" t="s">
        <v>36</v>
      </c>
      <c r="F203" s="4" t="s">
        <v>123</v>
      </c>
      <c r="G203" s="6">
        <v>44561</v>
      </c>
      <c r="H203" s="3">
        <v>104</v>
      </c>
    </row>
    <row r="204" spans="1:8" ht="14.5" x14ac:dyDescent="0.35">
      <c r="A204" s="3">
        <v>203</v>
      </c>
      <c r="B204" s="4" t="s">
        <v>16</v>
      </c>
      <c r="C204" s="3">
        <v>625</v>
      </c>
      <c r="D204" s="3">
        <v>2004</v>
      </c>
      <c r="E204" s="4" t="s">
        <v>167</v>
      </c>
      <c r="F204" s="4" t="s">
        <v>69</v>
      </c>
      <c r="G204" s="5">
        <v>44562</v>
      </c>
      <c r="H204" s="3">
        <v>108</v>
      </c>
    </row>
    <row r="205" spans="1:8" ht="14.5" x14ac:dyDescent="0.35">
      <c r="A205" s="3">
        <v>204</v>
      </c>
      <c r="B205" s="4" t="s">
        <v>8</v>
      </c>
      <c r="C205" s="3">
        <v>623</v>
      </c>
      <c r="D205" s="3">
        <v>2019</v>
      </c>
      <c r="E205" s="4" t="s">
        <v>168</v>
      </c>
      <c r="F205" s="4" t="s">
        <v>45</v>
      </c>
      <c r="G205" s="5">
        <v>44562</v>
      </c>
      <c r="H205" s="3">
        <v>106</v>
      </c>
    </row>
    <row r="206" spans="1:8" ht="14.5" x14ac:dyDescent="0.35">
      <c r="A206" s="3">
        <v>205</v>
      </c>
      <c r="B206" s="4" t="s">
        <v>8</v>
      </c>
      <c r="C206" s="3">
        <v>623</v>
      </c>
      <c r="D206" s="3">
        <v>2019</v>
      </c>
      <c r="E206" s="4" t="s">
        <v>71</v>
      </c>
      <c r="F206" s="4" t="s">
        <v>45</v>
      </c>
      <c r="G206" s="5">
        <v>44562</v>
      </c>
      <c r="H206" s="3">
        <v>114</v>
      </c>
    </row>
    <row r="207" spans="1:8" ht="14.5" x14ac:dyDescent="0.35">
      <c r="A207" s="3">
        <v>206</v>
      </c>
      <c r="B207" s="4" t="s">
        <v>16</v>
      </c>
      <c r="C207" s="3">
        <v>611</v>
      </c>
      <c r="D207" s="3">
        <v>2005</v>
      </c>
      <c r="E207" s="4" t="s">
        <v>169</v>
      </c>
      <c r="F207" s="4" t="s">
        <v>18</v>
      </c>
      <c r="G207" s="5">
        <v>44563</v>
      </c>
      <c r="H207" s="3">
        <v>102</v>
      </c>
    </row>
    <row r="208" spans="1:8" ht="14.5" x14ac:dyDescent="0.35">
      <c r="A208" s="3">
        <v>207</v>
      </c>
      <c r="B208" s="4" t="s">
        <v>16</v>
      </c>
      <c r="C208" s="3">
        <v>550</v>
      </c>
      <c r="D208" s="3">
        <v>1985</v>
      </c>
      <c r="E208" s="4" t="s">
        <v>170</v>
      </c>
      <c r="F208" s="4" t="s">
        <v>32</v>
      </c>
      <c r="G208" s="5">
        <v>44563</v>
      </c>
      <c r="H208" s="3">
        <v>109</v>
      </c>
    </row>
    <row r="209" spans="1:8" ht="14.5" x14ac:dyDescent="0.35">
      <c r="A209" s="3">
        <v>208</v>
      </c>
      <c r="B209" s="4" t="s">
        <v>8</v>
      </c>
      <c r="C209" s="3">
        <v>623</v>
      </c>
      <c r="D209" s="3">
        <v>2019</v>
      </c>
      <c r="E209" s="4" t="s">
        <v>171</v>
      </c>
      <c r="F209" s="4" t="s">
        <v>45</v>
      </c>
      <c r="G209" s="5">
        <v>44563</v>
      </c>
      <c r="H209" s="3">
        <v>111</v>
      </c>
    </row>
    <row r="210" spans="1:8" ht="14.5" x14ac:dyDescent="0.35">
      <c r="A210" s="3">
        <v>209</v>
      </c>
      <c r="B210" s="4" t="s">
        <v>8</v>
      </c>
      <c r="C210" s="3">
        <v>623</v>
      </c>
      <c r="D210" s="3">
        <v>2019</v>
      </c>
      <c r="E210" s="4" t="s">
        <v>172</v>
      </c>
      <c r="F210" s="4" t="s">
        <v>10</v>
      </c>
      <c r="G210" s="5">
        <v>44564</v>
      </c>
      <c r="H210" s="3">
        <v>107</v>
      </c>
    </row>
    <row r="211" spans="1:8" ht="14.5" x14ac:dyDescent="0.35">
      <c r="A211" s="3">
        <v>210</v>
      </c>
      <c r="B211" s="4" t="s">
        <v>8</v>
      </c>
      <c r="C211" s="3">
        <v>623</v>
      </c>
      <c r="D211" s="3">
        <v>2015</v>
      </c>
      <c r="E211" s="4" t="s">
        <v>173</v>
      </c>
      <c r="F211" s="4" t="s">
        <v>10</v>
      </c>
      <c r="G211" s="5">
        <v>44564</v>
      </c>
      <c r="H211" s="3">
        <v>102</v>
      </c>
    </row>
    <row r="212" spans="1:8" ht="14.5" x14ac:dyDescent="0.35">
      <c r="A212" s="3">
        <v>211</v>
      </c>
      <c r="B212" s="4" t="s">
        <v>8</v>
      </c>
      <c r="C212" s="3">
        <v>623</v>
      </c>
      <c r="D212" s="3">
        <v>2015</v>
      </c>
      <c r="E212" s="4" t="s">
        <v>112</v>
      </c>
      <c r="F212" s="4" t="s">
        <v>10</v>
      </c>
      <c r="G212" s="5">
        <v>44564</v>
      </c>
      <c r="H212" s="3">
        <v>102</v>
      </c>
    </row>
    <row r="213" spans="1:8" ht="14.5" x14ac:dyDescent="0.35">
      <c r="A213" s="3">
        <v>212</v>
      </c>
      <c r="B213" s="4" t="s">
        <v>8</v>
      </c>
      <c r="C213" s="3">
        <v>623</v>
      </c>
      <c r="D213" s="3">
        <v>2016</v>
      </c>
      <c r="E213" s="4" t="s">
        <v>174</v>
      </c>
      <c r="F213" s="4" t="s">
        <v>45</v>
      </c>
      <c r="G213" s="5">
        <v>44565</v>
      </c>
      <c r="H213" s="3">
        <v>109</v>
      </c>
    </row>
    <row r="214" spans="1:8" ht="14.5" x14ac:dyDescent="0.35">
      <c r="A214" s="3">
        <v>213</v>
      </c>
      <c r="B214" s="4" t="s">
        <v>61</v>
      </c>
      <c r="C214" s="3">
        <v>504</v>
      </c>
      <c r="D214" s="3">
        <v>1976</v>
      </c>
      <c r="E214" s="4" t="s">
        <v>175</v>
      </c>
      <c r="F214" s="4" t="s">
        <v>32</v>
      </c>
      <c r="G214" s="5">
        <v>44565</v>
      </c>
      <c r="H214" s="3">
        <v>102</v>
      </c>
    </row>
    <row r="215" spans="1:8" ht="14.5" x14ac:dyDescent="0.35">
      <c r="A215" s="3">
        <v>214</v>
      </c>
      <c r="B215" s="4" t="s">
        <v>37</v>
      </c>
      <c r="C215" s="3">
        <v>597</v>
      </c>
      <c r="D215" s="3">
        <v>2015</v>
      </c>
      <c r="E215" s="4" t="s">
        <v>46</v>
      </c>
      <c r="F215" s="4" t="s">
        <v>10</v>
      </c>
      <c r="G215" s="5">
        <v>44565</v>
      </c>
      <c r="H215" s="3">
        <v>102</v>
      </c>
    </row>
    <row r="216" spans="1:8" ht="14.5" x14ac:dyDescent="0.35">
      <c r="A216" s="3">
        <v>215</v>
      </c>
      <c r="B216" s="4" t="s">
        <v>8</v>
      </c>
      <c r="C216" s="3">
        <v>572</v>
      </c>
      <c r="D216" s="3">
        <v>2015</v>
      </c>
      <c r="E216" s="4" t="s">
        <v>33</v>
      </c>
      <c r="F216" s="4" t="s">
        <v>10</v>
      </c>
      <c r="G216" s="6">
        <v>44574</v>
      </c>
      <c r="H216" s="3">
        <v>115</v>
      </c>
    </row>
    <row r="217" spans="1:8" ht="14.5" x14ac:dyDescent="0.35">
      <c r="A217" s="3">
        <v>216</v>
      </c>
      <c r="B217" s="4" t="s">
        <v>8</v>
      </c>
      <c r="C217" s="3">
        <v>514</v>
      </c>
      <c r="D217" s="3">
        <v>2008</v>
      </c>
      <c r="E217" s="4" t="s">
        <v>132</v>
      </c>
      <c r="F217" s="4" t="s">
        <v>10</v>
      </c>
      <c r="G217" s="6">
        <v>44574</v>
      </c>
      <c r="H217" s="3">
        <v>102</v>
      </c>
    </row>
    <row r="218" spans="1:8" ht="14.5" x14ac:dyDescent="0.35">
      <c r="A218" s="3">
        <v>217</v>
      </c>
      <c r="B218" s="4" t="s">
        <v>37</v>
      </c>
      <c r="C218" s="3">
        <v>623</v>
      </c>
      <c r="D218" s="3">
        <v>1985</v>
      </c>
      <c r="E218" s="4" t="s">
        <v>176</v>
      </c>
      <c r="F218" s="4" t="s">
        <v>28</v>
      </c>
      <c r="G218" s="6">
        <v>44574</v>
      </c>
      <c r="H218" s="3">
        <v>103</v>
      </c>
    </row>
    <row r="219" spans="1:8" ht="14.5" x14ac:dyDescent="0.35">
      <c r="A219" s="3">
        <v>218</v>
      </c>
      <c r="B219" s="4" t="s">
        <v>8</v>
      </c>
      <c r="C219" s="3">
        <v>616</v>
      </c>
      <c r="D219" s="3">
        <v>2015</v>
      </c>
      <c r="E219" s="4" t="s">
        <v>177</v>
      </c>
      <c r="F219" s="4" t="s">
        <v>10</v>
      </c>
      <c r="G219" s="6">
        <v>44574</v>
      </c>
      <c r="H219" s="3">
        <v>102</v>
      </c>
    </row>
    <row r="220" spans="1:8" ht="14.5" x14ac:dyDescent="0.35">
      <c r="A220" s="3">
        <v>219</v>
      </c>
      <c r="B220" s="4" t="s">
        <v>8</v>
      </c>
      <c r="C220" s="3">
        <v>623</v>
      </c>
      <c r="D220" s="3">
        <v>2002</v>
      </c>
      <c r="E220" s="4" t="s">
        <v>23</v>
      </c>
      <c r="F220" s="4" t="s">
        <v>45</v>
      </c>
      <c r="G220" s="6">
        <v>44574</v>
      </c>
      <c r="H220" s="3">
        <v>114</v>
      </c>
    </row>
    <row r="221" spans="1:8" ht="14.5" x14ac:dyDescent="0.35">
      <c r="A221" s="3">
        <v>220</v>
      </c>
      <c r="B221" s="4" t="s">
        <v>8</v>
      </c>
      <c r="C221" s="3">
        <v>623</v>
      </c>
      <c r="D221" s="3">
        <v>2016</v>
      </c>
      <c r="E221" s="4" t="s">
        <v>58</v>
      </c>
      <c r="F221" s="4" t="s">
        <v>10</v>
      </c>
      <c r="G221" s="6">
        <v>44574</v>
      </c>
      <c r="H221" s="3">
        <v>101</v>
      </c>
    </row>
    <row r="222" spans="1:8" ht="14.5" x14ac:dyDescent="0.35">
      <c r="A222" s="3">
        <v>221</v>
      </c>
      <c r="B222" s="4" t="s">
        <v>11</v>
      </c>
      <c r="C222" s="3">
        <v>623</v>
      </c>
      <c r="D222" s="3">
        <v>2000</v>
      </c>
      <c r="E222" s="4" t="s">
        <v>178</v>
      </c>
      <c r="F222" s="4" t="s">
        <v>18</v>
      </c>
      <c r="G222" s="6">
        <v>44575</v>
      </c>
      <c r="H222" s="3">
        <v>103</v>
      </c>
    </row>
    <row r="223" spans="1:8" ht="14.5" x14ac:dyDescent="0.35">
      <c r="A223" s="3">
        <v>222</v>
      </c>
      <c r="B223" s="4" t="s">
        <v>8</v>
      </c>
      <c r="C223" s="3">
        <v>623</v>
      </c>
      <c r="D223" s="3">
        <v>2016</v>
      </c>
      <c r="E223" s="4" t="s">
        <v>57</v>
      </c>
      <c r="F223" s="4" t="s">
        <v>10</v>
      </c>
      <c r="G223" s="6">
        <v>44575</v>
      </c>
      <c r="H223" s="3">
        <v>106</v>
      </c>
    </row>
    <row r="224" spans="1:8" ht="14.5" x14ac:dyDescent="0.35">
      <c r="A224" s="3">
        <v>223</v>
      </c>
      <c r="B224" s="4" t="s">
        <v>37</v>
      </c>
      <c r="C224" s="3">
        <v>623</v>
      </c>
      <c r="D224" s="3">
        <v>2016</v>
      </c>
      <c r="E224" s="4" t="s">
        <v>179</v>
      </c>
      <c r="F224" s="4" t="s">
        <v>32</v>
      </c>
      <c r="G224" s="6">
        <v>44575</v>
      </c>
      <c r="H224" s="3">
        <v>104</v>
      </c>
    </row>
    <row r="225" spans="1:8" ht="14.5" x14ac:dyDescent="0.35">
      <c r="A225" s="3">
        <v>224</v>
      </c>
      <c r="B225" s="4" t="s">
        <v>8</v>
      </c>
      <c r="C225" s="3">
        <v>572</v>
      </c>
      <c r="D225" s="3">
        <v>2016</v>
      </c>
      <c r="E225" s="4" t="s">
        <v>180</v>
      </c>
      <c r="F225" s="4" t="s">
        <v>10</v>
      </c>
      <c r="G225" s="6">
        <v>44575</v>
      </c>
      <c r="H225" s="3">
        <v>115</v>
      </c>
    </row>
    <row r="226" spans="1:8" ht="14.5" x14ac:dyDescent="0.35">
      <c r="A226" s="3">
        <v>225</v>
      </c>
      <c r="B226" s="4" t="s">
        <v>8</v>
      </c>
      <c r="C226" s="3">
        <v>623</v>
      </c>
      <c r="D226" s="3">
        <v>2019</v>
      </c>
      <c r="E226" s="4" t="s">
        <v>23</v>
      </c>
      <c r="F226" s="4" t="s">
        <v>10</v>
      </c>
      <c r="G226" s="6">
        <v>44575</v>
      </c>
      <c r="H226" s="3">
        <v>108</v>
      </c>
    </row>
    <row r="227" spans="1:8" ht="14.5" x14ac:dyDescent="0.35">
      <c r="A227" s="3">
        <v>226</v>
      </c>
      <c r="B227" s="4" t="s">
        <v>8</v>
      </c>
      <c r="C227" s="3">
        <v>623</v>
      </c>
      <c r="D227" s="3">
        <v>2019</v>
      </c>
      <c r="E227" s="4" t="s">
        <v>181</v>
      </c>
      <c r="F227" s="4" t="s">
        <v>10</v>
      </c>
      <c r="G227" s="6">
        <v>44577</v>
      </c>
      <c r="H227" s="3">
        <v>114</v>
      </c>
    </row>
    <row r="228" spans="1:8" ht="14.5" x14ac:dyDescent="0.35">
      <c r="A228" s="3">
        <v>227</v>
      </c>
      <c r="B228" s="4" t="s">
        <v>16</v>
      </c>
      <c r="C228" s="3">
        <v>611</v>
      </c>
      <c r="D228" s="3">
        <v>2007</v>
      </c>
      <c r="E228" s="4" t="s">
        <v>182</v>
      </c>
      <c r="F228" s="4" t="s">
        <v>45</v>
      </c>
      <c r="G228" s="6">
        <v>44577</v>
      </c>
      <c r="H228" s="3">
        <v>102</v>
      </c>
    </row>
    <row r="229" spans="1:8" ht="14.5" x14ac:dyDescent="0.35">
      <c r="A229" s="3">
        <v>228</v>
      </c>
      <c r="B229" s="4" t="s">
        <v>8</v>
      </c>
      <c r="C229" s="3">
        <v>549</v>
      </c>
      <c r="D229" s="3">
        <v>1990</v>
      </c>
      <c r="E229" s="4" t="s">
        <v>46</v>
      </c>
      <c r="F229" s="4" t="s">
        <v>45</v>
      </c>
      <c r="G229" s="6">
        <v>44577</v>
      </c>
      <c r="H229" s="3">
        <v>114</v>
      </c>
    </row>
    <row r="230" spans="1:8" ht="14.5" x14ac:dyDescent="0.35">
      <c r="A230" s="3">
        <v>229</v>
      </c>
      <c r="B230" s="4" t="s">
        <v>61</v>
      </c>
      <c r="C230" s="3">
        <v>525</v>
      </c>
      <c r="D230" s="3">
        <v>1979</v>
      </c>
      <c r="E230" s="4" t="s">
        <v>183</v>
      </c>
      <c r="F230" s="4" t="s">
        <v>28</v>
      </c>
      <c r="G230" s="6">
        <v>44578</v>
      </c>
      <c r="H230" s="3">
        <v>108</v>
      </c>
    </row>
    <row r="231" spans="1:8" ht="14.5" x14ac:dyDescent="0.35">
      <c r="A231" s="3">
        <v>230</v>
      </c>
      <c r="B231" s="4" t="s">
        <v>37</v>
      </c>
      <c r="C231" s="3">
        <v>623</v>
      </c>
      <c r="D231" s="3">
        <v>1976</v>
      </c>
      <c r="E231" s="4" t="s">
        <v>36</v>
      </c>
      <c r="F231" s="4" t="s">
        <v>10</v>
      </c>
      <c r="G231" s="6">
        <v>44578</v>
      </c>
      <c r="H231" s="3">
        <v>108</v>
      </c>
    </row>
    <row r="232" spans="1:8" ht="14.5" x14ac:dyDescent="0.35">
      <c r="A232" s="3">
        <v>231</v>
      </c>
      <c r="B232" s="4" t="s">
        <v>8</v>
      </c>
      <c r="C232" s="3">
        <v>549</v>
      </c>
      <c r="D232" s="3">
        <v>1987</v>
      </c>
      <c r="E232" s="4" t="s">
        <v>46</v>
      </c>
      <c r="F232" s="4" t="s">
        <v>69</v>
      </c>
      <c r="G232" s="6">
        <v>44578</v>
      </c>
      <c r="H232" s="3">
        <v>115</v>
      </c>
    </row>
    <row r="233" spans="1:8" ht="14.5" x14ac:dyDescent="0.35">
      <c r="A233" s="3">
        <v>232</v>
      </c>
      <c r="B233" s="4" t="s">
        <v>8</v>
      </c>
      <c r="C233" s="3">
        <v>616</v>
      </c>
      <c r="D233" s="3">
        <v>2019</v>
      </c>
      <c r="E233" s="4" t="s">
        <v>33</v>
      </c>
      <c r="F233" s="4" t="s">
        <v>10</v>
      </c>
      <c r="G233" s="6">
        <v>44578</v>
      </c>
      <c r="H233" s="3">
        <v>102</v>
      </c>
    </row>
    <row r="234" spans="1:8" ht="14.5" x14ac:dyDescent="0.35">
      <c r="A234" s="3">
        <v>233</v>
      </c>
      <c r="B234" s="4" t="s">
        <v>8</v>
      </c>
      <c r="C234" s="3">
        <v>623</v>
      </c>
      <c r="D234" s="3">
        <v>2019</v>
      </c>
      <c r="E234" s="4" t="s">
        <v>51</v>
      </c>
      <c r="F234" s="4" t="s">
        <v>10</v>
      </c>
      <c r="G234" s="6">
        <v>44579</v>
      </c>
      <c r="H234" s="3">
        <v>108</v>
      </c>
    </row>
    <row r="235" spans="1:8" ht="14.5" x14ac:dyDescent="0.35">
      <c r="A235" s="3">
        <v>234</v>
      </c>
      <c r="B235" s="4" t="s">
        <v>25</v>
      </c>
      <c r="C235" s="3">
        <v>594</v>
      </c>
      <c r="D235" s="3">
        <v>1998</v>
      </c>
      <c r="E235" s="4" t="s">
        <v>184</v>
      </c>
      <c r="F235" s="4" t="s">
        <v>28</v>
      </c>
      <c r="G235" s="6">
        <v>44579</v>
      </c>
      <c r="H235" s="3">
        <v>102</v>
      </c>
    </row>
    <row r="236" spans="1:8" ht="14.5" x14ac:dyDescent="0.35">
      <c r="A236" s="3">
        <v>235</v>
      </c>
      <c r="B236" s="4" t="s">
        <v>16</v>
      </c>
      <c r="C236" s="3">
        <v>611</v>
      </c>
      <c r="D236" s="3">
        <v>2003</v>
      </c>
      <c r="E236" s="4" t="s">
        <v>185</v>
      </c>
      <c r="F236" s="4" t="s">
        <v>10</v>
      </c>
      <c r="G236" s="6">
        <v>44579</v>
      </c>
      <c r="H236" s="3">
        <v>104</v>
      </c>
    </row>
    <row r="237" spans="1:8" ht="14.5" x14ac:dyDescent="0.35">
      <c r="A237" s="3">
        <v>236</v>
      </c>
      <c r="B237" s="4" t="s">
        <v>16</v>
      </c>
      <c r="C237" s="3">
        <v>611</v>
      </c>
      <c r="D237" s="3">
        <v>2009</v>
      </c>
      <c r="E237" s="4" t="s">
        <v>186</v>
      </c>
      <c r="F237" s="4" t="s">
        <v>18</v>
      </c>
      <c r="G237" s="6">
        <v>44579</v>
      </c>
      <c r="H237" s="3">
        <v>102</v>
      </c>
    </row>
    <row r="238" spans="1:8" ht="14.5" x14ac:dyDescent="0.35">
      <c r="A238" s="3">
        <v>237</v>
      </c>
      <c r="B238" s="4" t="s">
        <v>8</v>
      </c>
      <c r="C238" s="3">
        <v>623</v>
      </c>
      <c r="D238" s="3">
        <v>2002</v>
      </c>
      <c r="E238" s="4" t="s">
        <v>33</v>
      </c>
      <c r="F238" s="4" t="s">
        <v>45</v>
      </c>
      <c r="G238" s="6">
        <v>44579</v>
      </c>
      <c r="H238" s="3">
        <v>102</v>
      </c>
    </row>
    <row r="239" spans="1:8" ht="14.5" x14ac:dyDescent="0.35">
      <c r="A239" s="3">
        <v>238</v>
      </c>
      <c r="B239" s="4" t="s">
        <v>8</v>
      </c>
      <c r="C239" s="3">
        <v>514</v>
      </c>
      <c r="D239" s="3">
        <v>2019</v>
      </c>
      <c r="E239" s="4" t="s">
        <v>187</v>
      </c>
      <c r="F239" s="4" t="s">
        <v>10</v>
      </c>
      <c r="G239" s="6">
        <v>44580</v>
      </c>
      <c r="H239" s="3">
        <v>114</v>
      </c>
    </row>
    <row r="240" spans="1:8" ht="14.5" x14ac:dyDescent="0.35">
      <c r="A240" s="3">
        <v>239</v>
      </c>
      <c r="B240" s="4" t="s">
        <v>8</v>
      </c>
      <c r="C240" s="3">
        <v>623</v>
      </c>
      <c r="D240" s="3">
        <v>2016</v>
      </c>
      <c r="E240" s="4" t="s">
        <v>120</v>
      </c>
      <c r="F240" s="4" t="s">
        <v>10</v>
      </c>
      <c r="G240" s="6">
        <v>44580</v>
      </c>
      <c r="H240" s="3">
        <v>102</v>
      </c>
    </row>
    <row r="241" spans="1:8" ht="14.5" x14ac:dyDescent="0.35">
      <c r="A241" s="3">
        <v>240</v>
      </c>
      <c r="B241" s="4" t="s">
        <v>8</v>
      </c>
      <c r="C241" s="3">
        <v>623</v>
      </c>
      <c r="D241" s="3">
        <v>2019</v>
      </c>
      <c r="E241" s="4" t="s">
        <v>57</v>
      </c>
      <c r="F241" s="4" t="s">
        <v>10</v>
      </c>
      <c r="G241" s="6">
        <v>44580</v>
      </c>
      <c r="H241" s="3">
        <v>114</v>
      </c>
    </row>
    <row r="242" spans="1:8" ht="14.5" x14ac:dyDescent="0.35">
      <c r="A242" s="3">
        <v>241</v>
      </c>
      <c r="B242" s="4" t="s">
        <v>16</v>
      </c>
      <c r="C242" s="3">
        <v>611</v>
      </c>
      <c r="D242" s="3">
        <v>2007</v>
      </c>
      <c r="E242" s="4" t="s">
        <v>186</v>
      </c>
      <c r="F242" s="4" t="s">
        <v>18</v>
      </c>
      <c r="G242" s="6">
        <v>44581</v>
      </c>
      <c r="H242" s="3">
        <v>102</v>
      </c>
    </row>
    <row r="243" spans="1:8" ht="14.5" x14ac:dyDescent="0.35">
      <c r="A243" s="3">
        <v>242</v>
      </c>
      <c r="B243" s="4" t="s">
        <v>8</v>
      </c>
      <c r="C243" s="3">
        <v>549</v>
      </c>
      <c r="D243" s="3">
        <v>1977</v>
      </c>
      <c r="E243" s="4" t="s">
        <v>188</v>
      </c>
      <c r="F243" s="4" t="s">
        <v>10</v>
      </c>
      <c r="G243" s="6">
        <v>44581</v>
      </c>
      <c r="H243" s="3">
        <v>107</v>
      </c>
    </row>
    <row r="244" spans="1:8" ht="14.5" x14ac:dyDescent="0.35">
      <c r="A244" s="3">
        <v>243</v>
      </c>
      <c r="B244" s="4" t="s">
        <v>8</v>
      </c>
      <c r="C244" s="3">
        <v>623</v>
      </c>
      <c r="D244" s="3">
        <v>2001</v>
      </c>
      <c r="E244" s="4" t="s">
        <v>33</v>
      </c>
      <c r="F244" s="4" t="s">
        <v>10</v>
      </c>
      <c r="G244" s="6">
        <v>44581</v>
      </c>
      <c r="H244" s="3">
        <v>108</v>
      </c>
    </row>
    <row r="245" spans="1:8" ht="14.5" x14ac:dyDescent="0.35">
      <c r="A245" s="3">
        <v>244</v>
      </c>
      <c r="B245" s="4" t="s">
        <v>11</v>
      </c>
      <c r="C245" s="3">
        <v>623</v>
      </c>
      <c r="D245" s="3">
        <v>2019</v>
      </c>
      <c r="E245" s="4" t="s">
        <v>23</v>
      </c>
      <c r="F245" s="4" t="s">
        <v>10</v>
      </c>
      <c r="G245" s="6">
        <v>44581</v>
      </c>
      <c r="H245" s="3">
        <v>102</v>
      </c>
    </row>
    <row r="246" spans="1:8" ht="14.5" x14ac:dyDescent="0.35">
      <c r="A246" s="3">
        <v>245</v>
      </c>
      <c r="B246" s="4" t="s">
        <v>11</v>
      </c>
      <c r="C246" s="3">
        <v>623</v>
      </c>
      <c r="D246" s="3">
        <v>2019</v>
      </c>
      <c r="E246" s="4" t="s">
        <v>20</v>
      </c>
      <c r="F246" s="4" t="s">
        <v>10</v>
      </c>
      <c r="G246" s="6">
        <v>44581</v>
      </c>
      <c r="H246" s="3">
        <v>101</v>
      </c>
    </row>
    <row r="247" spans="1:8" ht="14.5" x14ac:dyDescent="0.35">
      <c r="A247" s="3">
        <v>246</v>
      </c>
      <c r="B247" s="4" t="s">
        <v>8</v>
      </c>
      <c r="C247" s="3">
        <v>623</v>
      </c>
      <c r="D247" s="3">
        <v>2019</v>
      </c>
      <c r="E247" s="4" t="s">
        <v>23</v>
      </c>
      <c r="F247" s="4" t="s">
        <v>18</v>
      </c>
      <c r="G247" s="6">
        <v>44581</v>
      </c>
      <c r="H247" s="3">
        <v>106</v>
      </c>
    </row>
    <row r="248" spans="1:8" ht="14.5" x14ac:dyDescent="0.35">
      <c r="A248" s="3">
        <v>247</v>
      </c>
      <c r="B248" s="4" t="s">
        <v>8</v>
      </c>
      <c r="C248" s="3">
        <v>516</v>
      </c>
      <c r="D248" s="3">
        <v>2019</v>
      </c>
      <c r="E248" s="4" t="s">
        <v>189</v>
      </c>
      <c r="F248" s="4" t="s">
        <v>10</v>
      </c>
      <c r="G248" s="6">
        <v>44582</v>
      </c>
      <c r="H248" s="3">
        <v>114</v>
      </c>
    </row>
    <row r="249" spans="1:8" ht="14.5" x14ac:dyDescent="0.35">
      <c r="A249" s="3">
        <v>248</v>
      </c>
      <c r="B249" s="4" t="s">
        <v>11</v>
      </c>
      <c r="C249" s="3">
        <v>623</v>
      </c>
      <c r="D249" s="3">
        <v>2019</v>
      </c>
      <c r="E249" s="4" t="s">
        <v>20</v>
      </c>
      <c r="F249" s="4" t="s">
        <v>10</v>
      </c>
      <c r="G249" s="6">
        <v>44583</v>
      </c>
      <c r="H249" s="3">
        <v>102</v>
      </c>
    </row>
    <row r="250" spans="1:8" ht="14.5" x14ac:dyDescent="0.35">
      <c r="A250" s="3">
        <v>249</v>
      </c>
      <c r="B250" s="4" t="s">
        <v>8</v>
      </c>
      <c r="C250" s="3">
        <v>623</v>
      </c>
      <c r="D250" s="3">
        <v>2019</v>
      </c>
      <c r="E250" s="4" t="s">
        <v>190</v>
      </c>
      <c r="F250" s="4" t="s">
        <v>10</v>
      </c>
      <c r="G250" s="6">
        <v>44584</v>
      </c>
      <c r="H250" s="3">
        <v>114</v>
      </c>
    </row>
    <row r="251" spans="1:8" ht="14.5" x14ac:dyDescent="0.35">
      <c r="A251" s="3">
        <v>250</v>
      </c>
      <c r="B251" s="4" t="s">
        <v>8</v>
      </c>
      <c r="C251" s="3">
        <v>549</v>
      </c>
      <c r="D251" s="3">
        <v>2019</v>
      </c>
      <c r="E251" s="4" t="s">
        <v>33</v>
      </c>
      <c r="F251" s="4" t="s">
        <v>18</v>
      </c>
      <c r="G251" s="6">
        <v>44584</v>
      </c>
      <c r="H251" s="3">
        <v>102</v>
      </c>
    </row>
    <row r="252" spans="1:8" ht="14.5" x14ac:dyDescent="0.35">
      <c r="A252" s="3">
        <v>251</v>
      </c>
      <c r="B252" s="4" t="s">
        <v>8</v>
      </c>
      <c r="C252" s="3">
        <v>623</v>
      </c>
      <c r="D252" s="3">
        <v>1940</v>
      </c>
      <c r="E252" s="4" t="s">
        <v>23</v>
      </c>
      <c r="F252" s="4" t="s">
        <v>32</v>
      </c>
      <c r="G252" s="6">
        <v>44585</v>
      </c>
      <c r="H252" s="3">
        <v>115</v>
      </c>
    </row>
    <row r="253" spans="1:8" ht="14.5" x14ac:dyDescent="0.35">
      <c r="A253" s="3">
        <v>252</v>
      </c>
      <c r="B253" s="4" t="s">
        <v>8</v>
      </c>
      <c r="C253" s="3">
        <v>538</v>
      </c>
      <c r="D253" s="3">
        <v>2019</v>
      </c>
      <c r="E253" s="4" t="s">
        <v>33</v>
      </c>
      <c r="F253" s="4" t="s">
        <v>10</v>
      </c>
      <c r="G253" s="6">
        <v>44585</v>
      </c>
      <c r="H253" s="3">
        <v>109</v>
      </c>
    </row>
    <row r="254" spans="1:8" ht="14.5" x14ac:dyDescent="0.35">
      <c r="A254" s="3">
        <v>253</v>
      </c>
      <c r="B254" s="4" t="s">
        <v>37</v>
      </c>
      <c r="C254" s="3">
        <v>623</v>
      </c>
      <c r="D254" s="3">
        <v>2019</v>
      </c>
      <c r="E254" s="4" t="s">
        <v>121</v>
      </c>
      <c r="F254" s="4" t="s">
        <v>10</v>
      </c>
      <c r="G254" s="6">
        <v>44585</v>
      </c>
      <c r="H254" s="3">
        <v>104</v>
      </c>
    </row>
    <row r="255" spans="1:8" ht="14.5" x14ac:dyDescent="0.35">
      <c r="A255" s="3">
        <v>254</v>
      </c>
      <c r="B255" s="4" t="s">
        <v>8</v>
      </c>
      <c r="C255" s="3">
        <v>623</v>
      </c>
      <c r="D255" s="3">
        <v>1997</v>
      </c>
      <c r="E255" s="4" t="s">
        <v>191</v>
      </c>
      <c r="F255" s="4" t="s">
        <v>10</v>
      </c>
      <c r="G255" s="6">
        <v>44585</v>
      </c>
      <c r="H255" s="3">
        <v>111</v>
      </c>
    </row>
    <row r="256" spans="1:8" ht="14.5" x14ac:dyDescent="0.35">
      <c r="A256" s="3">
        <v>255</v>
      </c>
      <c r="B256" s="4" t="s">
        <v>8</v>
      </c>
      <c r="C256" s="3">
        <v>623</v>
      </c>
      <c r="D256" s="3">
        <v>1997</v>
      </c>
      <c r="E256" s="4" t="s">
        <v>68</v>
      </c>
      <c r="F256" s="4" t="s">
        <v>10</v>
      </c>
      <c r="G256" s="6">
        <v>44586</v>
      </c>
      <c r="H256" s="3">
        <v>108</v>
      </c>
    </row>
    <row r="257" spans="1:8" ht="14.5" x14ac:dyDescent="0.35">
      <c r="A257" s="3">
        <v>256</v>
      </c>
      <c r="B257" s="4" t="s">
        <v>11</v>
      </c>
      <c r="C257" s="3">
        <v>623</v>
      </c>
      <c r="D257" s="3">
        <v>2001</v>
      </c>
      <c r="E257" s="4" t="s">
        <v>36</v>
      </c>
      <c r="F257" s="4" t="s">
        <v>10</v>
      </c>
      <c r="G257" s="6">
        <v>44586</v>
      </c>
      <c r="H257" s="3">
        <v>101</v>
      </c>
    </row>
    <row r="258" spans="1:8" ht="14.5" x14ac:dyDescent="0.35">
      <c r="A258" s="3">
        <v>257</v>
      </c>
      <c r="B258" s="4" t="s">
        <v>8</v>
      </c>
      <c r="C258" s="3">
        <v>623</v>
      </c>
      <c r="D258" s="3">
        <v>2017</v>
      </c>
      <c r="E258" s="4" t="s">
        <v>192</v>
      </c>
      <c r="F258" s="4" t="s">
        <v>10</v>
      </c>
      <c r="G258" s="6">
        <v>44587</v>
      </c>
      <c r="H258" s="3">
        <v>108</v>
      </c>
    </row>
    <row r="259" spans="1:8" ht="14.5" x14ac:dyDescent="0.35">
      <c r="A259" s="3">
        <v>258</v>
      </c>
      <c r="B259" s="4" t="s">
        <v>8</v>
      </c>
      <c r="C259" s="3">
        <v>616</v>
      </c>
      <c r="D259" s="3">
        <v>2019</v>
      </c>
      <c r="E259" s="4" t="s">
        <v>33</v>
      </c>
      <c r="F259" s="4" t="s">
        <v>10</v>
      </c>
      <c r="G259" s="6">
        <v>44588</v>
      </c>
      <c r="H259" s="3">
        <v>109</v>
      </c>
    </row>
    <row r="260" spans="1:8" ht="14.5" x14ac:dyDescent="0.35">
      <c r="A260" s="3">
        <v>259</v>
      </c>
      <c r="B260" s="4" t="s">
        <v>11</v>
      </c>
      <c r="C260" s="3">
        <v>549</v>
      </c>
      <c r="D260" s="3">
        <v>2019</v>
      </c>
      <c r="E260" s="4" t="s">
        <v>79</v>
      </c>
      <c r="F260" s="4" t="s">
        <v>10</v>
      </c>
      <c r="G260" s="6">
        <v>44588</v>
      </c>
      <c r="H260" s="3">
        <v>102</v>
      </c>
    </row>
    <row r="261" spans="1:8" ht="14.5" x14ac:dyDescent="0.35">
      <c r="A261" s="3">
        <v>260</v>
      </c>
      <c r="B261" s="4" t="s">
        <v>16</v>
      </c>
      <c r="C261" s="3">
        <v>636</v>
      </c>
      <c r="D261" s="3">
        <v>2005</v>
      </c>
      <c r="E261" s="4" t="s">
        <v>17</v>
      </c>
      <c r="F261" s="4" t="s">
        <v>45</v>
      </c>
      <c r="G261" s="6">
        <v>44589</v>
      </c>
      <c r="H261" s="3">
        <v>102</v>
      </c>
    </row>
    <row r="262" spans="1:8" ht="14.5" x14ac:dyDescent="0.35">
      <c r="A262" s="3">
        <v>261</v>
      </c>
      <c r="B262" s="4" t="s">
        <v>8</v>
      </c>
      <c r="C262" s="3">
        <v>538</v>
      </c>
      <c r="D262" s="3">
        <v>2019</v>
      </c>
      <c r="E262" s="4" t="s">
        <v>193</v>
      </c>
      <c r="F262" s="4" t="s">
        <v>10</v>
      </c>
      <c r="G262" s="6">
        <v>44589</v>
      </c>
      <c r="H262" s="3">
        <v>109</v>
      </c>
    </row>
    <row r="263" spans="1:8" ht="14.5" x14ac:dyDescent="0.35">
      <c r="A263" s="3">
        <v>262</v>
      </c>
      <c r="B263" s="4" t="s">
        <v>8</v>
      </c>
      <c r="C263" s="3">
        <v>623</v>
      </c>
      <c r="D263" s="3">
        <v>2016</v>
      </c>
      <c r="E263" s="4" t="s">
        <v>92</v>
      </c>
      <c r="F263" s="4" t="s">
        <v>10</v>
      </c>
      <c r="G263" s="6">
        <v>44589</v>
      </c>
      <c r="H263" s="3">
        <v>114</v>
      </c>
    </row>
    <row r="264" spans="1:8" ht="14.5" x14ac:dyDescent="0.35">
      <c r="A264" s="3">
        <v>263</v>
      </c>
      <c r="B264" s="4" t="s">
        <v>8</v>
      </c>
      <c r="C264" s="3">
        <v>623</v>
      </c>
      <c r="D264" s="3">
        <v>2016</v>
      </c>
      <c r="E264" s="4" t="s">
        <v>194</v>
      </c>
      <c r="F264" s="4" t="s">
        <v>10</v>
      </c>
      <c r="G264" s="6">
        <v>44589</v>
      </c>
      <c r="H264" s="3">
        <v>102</v>
      </c>
    </row>
    <row r="265" spans="1:8" ht="14.5" x14ac:dyDescent="0.35">
      <c r="A265" s="3">
        <v>264</v>
      </c>
      <c r="B265" s="4" t="s">
        <v>37</v>
      </c>
      <c r="C265" s="3">
        <v>623</v>
      </c>
      <c r="D265" s="3">
        <v>2016</v>
      </c>
      <c r="E265" s="4" t="s">
        <v>195</v>
      </c>
      <c r="F265" s="4" t="s">
        <v>10</v>
      </c>
      <c r="G265" s="6">
        <v>44589</v>
      </c>
      <c r="H265" s="3">
        <v>114</v>
      </c>
    </row>
    <row r="266" spans="1:8" ht="14.5" x14ac:dyDescent="0.35">
      <c r="A266" s="3">
        <v>265</v>
      </c>
      <c r="B266" s="4" t="s">
        <v>61</v>
      </c>
      <c r="C266" s="3">
        <v>630</v>
      </c>
      <c r="D266" s="3">
        <v>2016</v>
      </c>
      <c r="E266" s="3">
        <v>710</v>
      </c>
      <c r="F266" s="4" t="s">
        <v>32</v>
      </c>
      <c r="G266" s="6">
        <v>44589</v>
      </c>
      <c r="H266" s="3">
        <v>103</v>
      </c>
    </row>
    <row r="267" spans="1:8" ht="14.5" x14ac:dyDescent="0.35">
      <c r="A267" s="3">
        <v>266</v>
      </c>
      <c r="B267" s="4" t="s">
        <v>8</v>
      </c>
      <c r="C267" s="3">
        <v>616</v>
      </c>
      <c r="D267" s="3">
        <v>2016</v>
      </c>
      <c r="E267" s="4" t="s">
        <v>196</v>
      </c>
      <c r="F267" s="4" t="s">
        <v>10</v>
      </c>
      <c r="G267" s="6">
        <v>44589</v>
      </c>
      <c r="H267" s="3">
        <v>102</v>
      </c>
    </row>
    <row r="268" spans="1:8" ht="14.5" x14ac:dyDescent="0.35">
      <c r="A268" s="3">
        <v>267</v>
      </c>
      <c r="B268" s="4" t="s">
        <v>8</v>
      </c>
      <c r="C268" s="3">
        <v>549</v>
      </c>
      <c r="D268" s="3">
        <v>2016</v>
      </c>
      <c r="E268" s="4" t="s">
        <v>197</v>
      </c>
      <c r="F268" s="4" t="s">
        <v>10</v>
      </c>
      <c r="G268" s="6">
        <v>44590</v>
      </c>
      <c r="H268" s="3">
        <v>114</v>
      </c>
    </row>
    <row r="269" spans="1:8" ht="14.5" x14ac:dyDescent="0.35">
      <c r="A269" s="3">
        <v>268</v>
      </c>
      <c r="B269" s="4" t="s">
        <v>8</v>
      </c>
      <c r="C269" s="3">
        <v>549</v>
      </c>
      <c r="D269" s="3">
        <v>2004</v>
      </c>
      <c r="E269" s="4" t="s">
        <v>46</v>
      </c>
      <c r="F269" s="4" t="s">
        <v>28</v>
      </c>
      <c r="G269" s="6">
        <v>44590</v>
      </c>
      <c r="H269" s="3">
        <v>114</v>
      </c>
    </row>
    <row r="270" spans="1:8" ht="14.5" x14ac:dyDescent="0.35">
      <c r="A270" s="3">
        <v>269</v>
      </c>
      <c r="B270" s="4" t="s">
        <v>8</v>
      </c>
      <c r="C270" s="3">
        <v>623</v>
      </c>
      <c r="D270" s="3">
        <v>2016</v>
      </c>
      <c r="E270" s="4" t="s">
        <v>198</v>
      </c>
      <c r="F270" s="4" t="s">
        <v>10</v>
      </c>
      <c r="G270" s="6">
        <v>44590</v>
      </c>
      <c r="H270" s="3">
        <v>103</v>
      </c>
    </row>
    <row r="271" spans="1:8" ht="14.5" x14ac:dyDescent="0.35">
      <c r="A271" s="3">
        <v>270</v>
      </c>
      <c r="B271" s="4" t="s">
        <v>37</v>
      </c>
      <c r="C271" s="3">
        <v>514</v>
      </c>
      <c r="D271" s="3">
        <v>2016</v>
      </c>
      <c r="E271" s="4" t="s">
        <v>46</v>
      </c>
      <c r="F271" s="4" t="s">
        <v>10</v>
      </c>
      <c r="G271" s="6">
        <v>44590</v>
      </c>
      <c r="H271" s="3">
        <v>102</v>
      </c>
    </row>
    <row r="272" spans="1:8" ht="14.5" x14ac:dyDescent="0.35">
      <c r="A272" s="3">
        <v>271</v>
      </c>
      <c r="B272" s="4" t="s">
        <v>8</v>
      </c>
      <c r="C272" s="3">
        <v>514</v>
      </c>
      <c r="D272" s="3">
        <v>2016</v>
      </c>
      <c r="E272" s="4" t="s">
        <v>46</v>
      </c>
      <c r="F272" s="4" t="s">
        <v>10</v>
      </c>
      <c r="G272" s="6">
        <v>44590</v>
      </c>
      <c r="H272" s="3">
        <v>114</v>
      </c>
    </row>
    <row r="273" spans="1:8" ht="14.5" x14ac:dyDescent="0.35">
      <c r="A273" s="3">
        <v>272</v>
      </c>
      <c r="B273" s="4" t="s">
        <v>37</v>
      </c>
      <c r="C273" s="3">
        <v>623</v>
      </c>
      <c r="D273" s="3">
        <v>2016</v>
      </c>
      <c r="E273" s="4" t="s">
        <v>195</v>
      </c>
      <c r="F273" s="4" t="s">
        <v>10</v>
      </c>
      <c r="G273" s="6">
        <v>44591</v>
      </c>
      <c r="H273" s="3">
        <v>102</v>
      </c>
    </row>
    <row r="274" spans="1:8" ht="14.5" x14ac:dyDescent="0.35">
      <c r="A274" s="3">
        <v>273</v>
      </c>
      <c r="B274" s="4" t="s">
        <v>8</v>
      </c>
      <c r="C274" s="3">
        <v>549</v>
      </c>
      <c r="D274" s="3">
        <v>1960</v>
      </c>
      <c r="E274" s="4" t="s">
        <v>46</v>
      </c>
      <c r="F274" s="4" t="s">
        <v>32</v>
      </c>
      <c r="G274" s="6">
        <v>44592</v>
      </c>
      <c r="H274" s="3">
        <v>114</v>
      </c>
    </row>
    <row r="275" spans="1:8" ht="14.5" x14ac:dyDescent="0.35">
      <c r="A275" s="3">
        <v>274</v>
      </c>
      <c r="B275" s="4" t="s">
        <v>37</v>
      </c>
      <c r="C275" s="3">
        <v>623</v>
      </c>
      <c r="D275" s="3">
        <v>2013</v>
      </c>
      <c r="E275" s="4" t="s">
        <v>199</v>
      </c>
      <c r="F275" s="4" t="s">
        <v>45</v>
      </c>
      <c r="G275" s="6">
        <v>44592</v>
      </c>
      <c r="H275" s="3">
        <v>102</v>
      </c>
    </row>
    <row r="276" spans="1:8" ht="14.5" x14ac:dyDescent="0.35">
      <c r="A276" s="3">
        <v>275</v>
      </c>
      <c r="B276" s="4" t="s">
        <v>37</v>
      </c>
      <c r="C276" s="3">
        <v>527</v>
      </c>
      <c r="D276" s="3">
        <v>2016</v>
      </c>
      <c r="E276" s="4" t="s">
        <v>200</v>
      </c>
      <c r="F276" s="4" t="s">
        <v>45</v>
      </c>
      <c r="G276" s="6">
        <v>44592</v>
      </c>
      <c r="H276" s="3">
        <v>102</v>
      </c>
    </row>
    <row r="277" spans="1:8" ht="14.5" x14ac:dyDescent="0.35">
      <c r="A277" s="3">
        <v>276</v>
      </c>
      <c r="B277" s="4" t="s">
        <v>8</v>
      </c>
      <c r="C277" s="3">
        <v>623</v>
      </c>
      <c r="D277" s="3">
        <v>2016</v>
      </c>
      <c r="E277" s="4" t="s">
        <v>201</v>
      </c>
      <c r="F277" s="4" t="s">
        <v>10</v>
      </c>
      <c r="G277" s="5">
        <v>44593</v>
      </c>
      <c r="H277" s="3">
        <v>103</v>
      </c>
    </row>
    <row r="278" spans="1:8" ht="14.5" x14ac:dyDescent="0.35">
      <c r="A278" s="3">
        <v>277</v>
      </c>
      <c r="B278" s="4" t="s">
        <v>37</v>
      </c>
      <c r="C278" s="3">
        <v>514</v>
      </c>
      <c r="D278" s="3">
        <v>2016</v>
      </c>
      <c r="E278" s="4" t="s">
        <v>46</v>
      </c>
      <c r="F278" s="4" t="s">
        <v>10</v>
      </c>
      <c r="G278" s="5">
        <v>44593</v>
      </c>
      <c r="H278" s="3">
        <v>102</v>
      </c>
    </row>
    <row r="279" spans="1:8" ht="14.5" x14ac:dyDescent="0.35">
      <c r="A279" s="3">
        <v>278</v>
      </c>
      <c r="B279" s="4" t="s">
        <v>8</v>
      </c>
      <c r="C279" s="3">
        <v>623</v>
      </c>
      <c r="D279" s="3">
        <v>2016</v>
      </c>
      <c r="E279" s="4" t="s">
        <v>202</v>
      </c>
      <c r="F279" s="4" t="s">
        <v>10</v>
      </c>
      <c r="G279" s="5">
        <v>44594</v>
      </c>
      <c r="H279" s="3">
        <v>102</v>
      </c>
    </row>
    <row r="280" spans="1:8" ht="14.5" x14ac:dyDescent="0.35">
      <c r="A280" s="3">
        <v>279</v>
      </c>
      <c r="B280" s="4" t="s">
        <v>8</v>
      </c>
      <c r="C280" s="3">
        <v>514</v>
      </c>
      <c r="D280" s="3">
        <v>2016</v>
      </c>
      <c r="E280" s="4" t="s">
        <v>203</v>
      </c>
      <c r="F280" s="4" t="s">
        <v>45</v>
      </c>
      <c r="G280" s="5">
        <v>44594</v>
      </c>
      <c r="H280" s="3">
        <v>102</v>
      </c>
    </row>
    <row r="281" spans="1:8" ht="14.5" x14ac:dyDescent="0.35">
      <c r="A281" s="3">
        <v>280</v>
      </c>
      <c r="B281" s="4" t="s">
        <v>8</v>
      </c>
      <c r="C281" s="3">
        <v>623</v>
      </c>
      <c r="D281" s="3">
        <v>2016</v>
      </c>
      <c r="E281" s="4" t="s">
        <v>92</v>
      </c>
      <c r="F281" s="4" t="s">
        <v>10</v>
      </c>
      <c r="G281" s="5">
        <v>44595</v>
      </c>
      <c r="H281" s="3">
        <v>114</v>
      </c>
    </row>
    <row r="282" spans="1:8" ht="14.5" x14ac:dyDescent="0.35">
      <c r="A282" s="3">
        <v>281</v>
      </c>
      <c r="B282" s="4" t="s">
        <v>83</v>
      </c>
      <c r="C282" s="3">
        <v>576</v>
      </c>
      <c r="D282" s="3">
        <v>1993</v>
      </c>
      <c r="E282" s="4" t="s">
        <v>204</v>
      </c>
      <c r="F282" s="4" t="s">
        <v>28</v>
      </c>
      <c r="G282" s="5">
        <v>44595</v>
      </c>
      <c r="H282" s="3">
        <v>103</v>
      </c>
    </row>
    <row r="283" spans="1:8" ht="14.5" x14ac:dyDescent="0.35">
      <c r="A283" s="3">
        <v>282</v>
      </c>
      <c r="B283" s="4" t="s">
        <v>8</v>
      </c>
      <c r="C283" s="3">
        <v>623</v>
      </c>
      <c r="D283" s="3">
        <v>2016</v>
      </c>
      <c r="E283" s="4" t="s">
        <v>100</v>
      </c>
      <c r="F283" s="4" t="s">
        <v>10</v>
      </c>
      <c r="G283" s="5">
        <v>44595</v>
      </c>
      <c r="H283" s="3">
        <v>102</v>
      </c>
    </row>
    <row r="284" spans="1:8" ht="14.5" x14ac:dyDescent="0.35">
      <c r="A284" s="3">
        <v>283</v>
      </c>
      <c r="B284" s="4" t="s">
        <v>37</v>
      </c>
      <c r="C284" s="3">
        <v>514</v>
      </c>
      <c r="D284" s="3">
        <v>2016</v>
      </c>
      <c r="E284" s="4" t="s">
        <v>46</v>
      </c>
      <c r="F284" s="4" t="s">
        <v>10</v>
      </c>
      <c r="G284" s="5">
        <v>44595</v>
      </c>
      <c r="H284" s="3">
        <v>102</v>
      </c>
    </row>
    <row r="285" spans="1:8" ht="14.5" x14ac:dyDescent="0.35">
      <c r="A285" s="3">
        <v>284</v>
      </c>
      <c r="B285" s="4" t="s">
        <v>37</v>
      </c>
      <c r="C285" s="3">
        <v>514</v>
      </c>
      <c r="D285" s="3">
        <v>2016</v>
      </c>
      <c r="E285" s="4" t="s">
        <v>136</v>
      </c>
      <c r="F285" s="4" t="s">
        <v>10</v>
      </c>
      <c r="G285" s="5">
        <v>44595</v>
      </c>
      <c r="H285" s="3">
        <v>104</v>
      </c>
    </row>
    <row r="286" spans="1:8" ht="14.5" x14ac:dyDescent="0.35">
      <c r="A286" s="3">
        <v>285</v>
      </c>
      <c r="B286" s="4" t="s">
        <v>37</v>
      </c>
      <c r="C286" s="3">
        <v>514</v>
      </c>
      <c r="D286" s="3">
        <v>2016</v>
      </c>
      <c r="E286" s="4" t="s">
        <v>136</v>
      </c>
      <c r="F286" s="4" t="s">
        <v>10</v>
      </c>
      <c r="G286" s="5">
        <v>44596</v>
      </c>
      <c r="H286" s="3">
        <v>103</v>
      </c>
    </row>
    <row r="287" spans="1:8" ht="14.5" x14ac:dyDescent="0.35">
      <c r="A287" s="3">
        <v>286</v>
      </c>
      <c r="B287" s="4" t="s">
        <v>11</v>
      </c>
      <c r="C287" s="3">
        <v>623</v>
      </c>
      <c r="D287" s="3">
        <v>2016</v>
      </c>
      <c r="E287" s="4" t="s">
        <v>205</v>
      </c>
      <c r="F287" s="4" t="s">
        <v>10</v>
      </c>
      <c r="G287" s="5">
        <v>44596</v>
      </c>
      <c r="H287" s="3">
        <v>102</v>
      </c>
    </row>
    <row r="288" spans="1:8" ht="14.5" x14ac:dyDescent="0.35">
      <c r="A288" s="3">
        <v>287</v>
      </c>
      <c r="B288" s="4" t="s">
        <v>61</v>
      </c>
      <c r="C288" s="3">
        <v>519</v>
      </c>
      <c r="D288" s="3">
        <v>2007</v>
      </c>
      <c r="E288" s="4" t="s">
        <v>206</v>
      </c>
      <c r="F288" s="4" t="s">
        <v>32</v>
      </c>
      <c r="G288" s="5">
        <v>44596</v>
      </c>
      <c r="H288" s="3">
        <v>109</v>
      </c>
    </row>
    <row r="289" spans="1:8" ht="14.5" x14ac:dyDescent="0.35">
      <c r="A289" s="3">
        <v>288</v>
      </c>
      <c r="B289" s="4" t="s">
        <v>8</v>
      </c>
      <c r="C289" s="3">
        <v>623</v>
      </c>
      <c r="D289" s="3">
        <v>2016</v>
      </c>
      <c r="E289" s="4" t="s">
        <v>112</v>
      </c>
      <c r="F289" s="4" t="s">
        <v>10</v>
      </c>
      <c r="G289" s="5">
        <v>44596</v>
      </c>
      <c r="H289" s="3">
        <v>102</v>
      </c>
    </row>
    <row r="290" spans="1:8" ht="14.5" x14ac:dyDescent="0.35">
      <c r="A290" s="3">
        <v>289</v>
      </c>
      <c r="B290" s="4" t="s">
        <v>8</v>
      </c>
      <c r="C290" s="3">
        <v>623</v>
      </c>
      <c r="D290" s="3">
        <v>2016</v>
      </c>
      <c r="E290" s="4" t="s">
        <v>100</v>
      </c>
      <c r="F290" s="4" t="s">
        <v>10</v>
      </c>
      <c r="G290" s="5">
        <v>44596</v>
      </c>
      <c r="H290" s="3">
        <v>104</v>
      </c>
    </row>
    <row r="291" spans="1:8" ht="14.5" x14ac:dyDescent="0.35">
      <c r="A291" s="3">
        <v>290</v>
      </c>
      <c r="B291" s="4" t="s">
        <v>11</v>
      </c>
      <c r="C291" s="3">
        <v>527</v>
      </c>
      <c r="D291" s="3">
        <v>2016</v>
      </c>
      <c r="E291" s="3">
        <v>4</v>
      </c>
      <c r="F291" s="4" t="s">
        <v>45</v>
      </c>
      <c r="G291" s="5">
        <v>44596</v>
      </c>
      <c r="H291" s="3">
        <v>114</v>
      </c>
    </row>
    <row r="292" spans="1:8" ht="14.5" x14ac:dyDescent="0.35">
      <c r="A292" s="3">
        <v>291</v>
      </c>
      <c r="B292" s="4" t="s">
        <v>37</v>
      </c>
      <c r="C292" s="3">
        <v>623</v>
      </c>
      <c r="D292" s="3">
        <v>2010</v>
      </c>
      <c r="E292" s="4" t="s">
        <v>207</v>
      </c>
      <c r="F292" s="4" t="s">
        <v>28</v>
      </c>
      <c r="G292" s="5">
        <v>44596</v>
      </c>
      <c r="H292" s="3">
        <v>114</v>
      </c>
    </row>
    <row r="293" spans="1:8" ht="14.5" x14ac:dyDescent="0.35">
      <c r="A293" s="3">
        <v>292</v>
      </c>
      <c r="B293" s="4" t="s">
        <v>8</v>
      </c>
      <c r="C293" s="3">
        <v>514</v>
      </c>
      <c r="D293" s="3">
        <v>2016</v>
      </c>
      <c r="E293" s="4" t="s">
        <v>132</v>
      </c>
      <c r="F293" s="4" t="s">
        <v>10</v>
      </c>
      <c r="G293" s="6">
        <v>44605</v>
      </c>
      <c r="H293" s="3">
        <v>102</v>
      </c>
    </row>
    <row r="294" spans="1:8" ht="14.5" x14ac:dyDescent="0.35">
      <c r="A294" s="3">
        <v>293</v>
      </c>
      <c r="B294" s="4" t="s">
        <v>16</v>
      </c>
      <c r="C294" s="3">
        <v>611</v>
      </c>
      <c r="D294" s="3">
        <v>2005</v>
      </c>
      <c r="E294" s="4" t="s">
        <v>208</v>
      </c>
      <c r="F294" s="4" t="s">
        <v>28</v>
      </c>
      <c r="G294" s="6">
        <v>44605</v>
      </c>
      <c r="H294" s="3">
        <v>102</v>
      </c>
    </row>
    <row r="295" spans="1:8" ht="14.5" x14ac:dyDescent="0.35">
      <c r="A295" s="3">
        <v>294</v>
      </c>
      <c r="B295" s="4" t="s">
        <v>8</v>
      </c>
      <c r="C295" s="3">
        <v>514</v>
      </c>
      <c r="D295" s="3">
        <v>2019</v>
      </c>
      <c r="E295" s="4" t="s">
        <v>209</v>
      </c>
      <c r="F295" s="4" t="s">
        <v>10</v>
      </c>
      <c r="G295" s="6">
        <v>44605</v>
      </c>
      <c r="H295" s="3">
        <v>114</v>
      </c>
    </row>
    <row r="296" spans="1:8" ht="14.5" x14ac:dyDescent="0.35">
      <c r="A296" s="3">
        <v>295</v>
      </c>
      <c r="B296" s="4" t="s">
        <v>11</v>
      </c>
      <c r="C296" s="3">
        <v>635</v>
      </c>
      <c r="D296" s="3">
        <v>1998</v>
      </c>
      <c r="E296" s="4" t="s">
        <v>210</v>
      </c>
      <c r="F296" s="4" t="s">
        <v>10</v>
      </c>
      <c r="G296" s="6">
        <v>44606</v>
      </c>
      <c r="H296" s="3">
        <v>104</v>
      </c>
    </row>
    <row r="297" spans="1:8" ht="14.5" x14ac:dyDescent="0.35">
      <c r="A297" s="3">
        <v>296</v>
      </c>
      <c r="B297" s="4" t="s">
        <v>11</v>
      </c>
      <c r="C297" s="3">
        <v>623</v>
      </c>
      <c r="D297" s="3">
        <v>2000</v>
      </c>
      <c r="E297" s="4" t="s">
        <v>211</v>
      </c>
      <c r="F297" s="4" t="s">
        <v>10</v>
      </c>
      <c r="G297" s="6">
        <v>44606</v>
      </c>
      <c r="H297" s="3">
        <v>102</v>
      </c>
    </row>
    <row r="298" spans="1:8" ht="14.5" x14ac:dyDescent="0.35">
      <c r="A298" s="3">
        <v>297</v>
      </c>
      <c r="B298" s="4" t="s">
        <v>11</v>
      </c>
      <c r="C298" s="3">
        <v>623</v>
      </c>
      <c r="D298" s="3">
        <v>2019</v>
      </c>
      <c r="E298" s="4" t="s">
        <v>212</v>
      </c>
      <c r="F298" s="4" t="s">
        <v>45</v>
      </c>
      <c r="G298" s="6">
        <v>44606</v>
      </c>
      <c r="H298" s="3">
        <v>103</v>
      </c>
    </row>
    <row r="299" spans="1:8" ht="14.5" x14ac:dyDescent="0.35">
      <c r="A299" s="3">
        <v>298</v>
      </c>
      <c r="B299" s="4" t="s">
        <v>16</v>
      </c>
      <c r="C299" s="3">
        <v>505</v>
      </c>
      <c r="D299" s="3">
        <v>1998</v>
      </c>
      <c r="E299" s="4" t="s">
        <v>213</v>
      </c>
      <c r="F299" s="4" t="s">
        <v>69</v>
      </c>
      <c r="G299" s="6">
        <v>44606</v>
      </c>
      <c r="H299" s="3">
        <v>115</v>
      </c>
    </row>
    <row r="300" spans="1:8" ht="14.5" x14ac:dyDescent="0.35">
      <c r="A300" s="3">
        <v>299</v>
      </c>
      <c r="B300" s="4" t="s">
        <v>25</v>
      </c>
      <c r="C300" s="3">
        <v>636</v>
      </c>
      <c r="D300" s="3">
        <v>2007</v>
      </c>
      <c r="E300" s="4" t="s">
        <v>214</v>
      </c>
      <c r="F300" s="4" t="s">
        <v>28</v>
      </c>
      <c r="G300" s="6">
        <v>44607</v>
      </c>
      <c r="H300" s="3">
        <v>102</v>
      </c>
    </row>
    <row r="301" spans="1:8" ht="14.5" x14ac:dyDescent="0.35">
      <c r="A301" s="3">
        <v>300</v>
      </c>
      <c r="B301" s="4" t="s">
        <v>8</v>
      </c>
      <c r="C301" s="3">
        <v>623</v>
      </c>
      <c r="D301" s="3">
        <v>2019</v>
      </c>
      <c r="E301" s="4" t="s">
        <v>215</v>
      </c>
      <c r="F301" s="4" t="s">
        <v>47</v>
      </c>
      <c r="G301" s="6">
        <v>44607</v>
      </c>
      <c r="H301" s="3">
        <v>103</v>
      </c>
    </row>
    <row r="302" spans="1:8" ht="14.5" x14ac:dyDescent="0.35">
      <c r="A302" s="3">
        <v>301</v>
      </c>
      <c r="B302" s="4" t="s">
        <v>16</v>
      </c>
      <c r="C302" s="3">
        <v>611</v>
      </c>
      <c r="D302" s="3">
        <v>2007</v>
      </c>
      <c r="E302" s="4" t="s">
        <v>216</v>
      </c>
      <c r="F302" s="4" t="s">
        <v>18</v>
      </c>
      <c r="G302" s="6">
        <v>44608</v>
      </c>
      <c r="H302" s="3">
        <v>101</v>
      </c>
    </row>
    <row r="303" spans="1:8" ht="14.5" x14ac:dyDescent="0.35">
      <c r="A303" s="3">
        <v>302</v>
      </c>
      <c r="B303" s="4" t="s">
        <v>8</v>
      </c>
      <c r="C303" s="3">
        <v>562</v>
      </c>
      <c r="D303" s="3">
        <v>2020</v>
      </c>
      <c r="E303" s="4" t="s">
        <v>217</v>
      </c>
      <c r="F303" s="4" t="s">
        <v>10</v>
      </c>
      <c r="G303" s="6">
        <v>44608</v>
      </c>
      <c r="H303" s="3">
        <v>102</v>
      </c>
    </row>
    <row r="304" spans="1:8" ht="14.5" x14ac:dyDescent="0.35">
      <c r="A304" s="3">
        <v>303</v>
      </c>
      <c r="B304" s="4" t="s">
        <v>8</v>
      </c>
      <c r="C304" s="3">
        <v>514</v>
      </c>
      <c r="D304" s="3">
        <v>1985</v>
      </c>
      <c r="E304" s="4" t="s">
        <v>71</v>
      </c>
      <c r="F304" s="4" t="s">
        <v>45</v>
      </c>
      <c r="G304" s="6">
        <v>44608</v>
      </c>
      <c r="H304" s="3">
        <v>114</v>
      </c>
    </row>
    <row r="305" spans="1:8" ht="14.5" x14ac:dyDescent="0.35">
      <c r="A305" s="3">
        <v>304</v>
      </c>
      <c r="B305" s="4" t="s">
        <v>16</v>
      </c>
      <c r="C305" s="3">
        <v>611</v>
      </c>
      <c r="D305" s="3">
        <v>2008</v>
      </c>
      <c r="E305" s="4" t="s">
        <v>218</v>
      </c>
      <c r="F305" s="4" t="s">
        <v>123</v>
      </c>
      <c r="G305" s="6">
        <v>44608</v>
      </c>
      <c r="H305" s="3">
        <v>102</v>
      </c>
    </row>
    <row r="306" spans="1:8" ht="14.5" x14ac:dyDescent="0.35">
      <c r="A306" s="3">
        <v>305</v>
      </c>
      <c r="B306" s="4" t="s">
        <v>11</v>
      </c>
      <c r="C306" s="3">
        <v>623</v>
      </c>
      <c r="D306" s="3">
        <v>2020</v>
      </c>
      <c r="E306" s="4" t="s">
        <v>219</v>
      </c>
      <c r="F306" s="4" t="s">
        <v>10</v>
      </c>
      <c r="G306" s="6">
        <v>44608</v>
      </c>
      <c r="H306" s="3">
        <v>109</v>
      </c>
    </row>
    <row r="307" spans="1:8" ht="14.5" x14ac:dyDescent="0.35">
      <c r="A307" s="3">
        <v>306</v>
      </c>
      <c r="B307" s="4" t="s">
        <v>8</v>
      </c>
      <c r="C307" s="3">
        <v>535</v>
      </c>
      <c r="D307" s="3">
        <v>1977</v>
      </c>
      <c r="E307" s="4" t="s">
        <v>220</v>
      </c>
      <c r="F307" s="4" t="s">
        <v>69</v>
      </c>
      <c r="G307" s="6">
        <v>44609</v>
      </c>
      <c r="H307" s="3">
        <v>102</v>
      </c>
    </row>
    <row r="308" spans="1:8" ht="14.5" x14ac:dyDescent="0.35">
      <c r="A308" s="3">
        <v>307</v>
      </c>
      <c r="B308" s="4" t="s">
        <v>11</v>
      </c>
      <c r="C308" s="3">
        <v>623</v>
      </c>
      <c r="D308" s="3">
        <v>2020</v>
      </c>
      <c r="E308" s="4" t="s">
        <v>13</v>
      </c>
      <c r="F308" s="4" t="s">
        <v>10</v>
      </c>
      <c r="G308" s="6">
        <v>44609</v>
      </c>
      <c r="H308" s="3">
        <v>102</v>
      </c>
    </row>
    <row r="309" spans="1:8" ht="14.5" x14ac:dyDescent="0.35">
      <c r="A309" s="3">
        <v>308</v>
      </c>
      <c r="B309" s="4" t="s">
        <v>61</v>
      </c>
      <c r="C309" s="3">
        <v>508</v>
      </c>
      <c r="D309" s="3">
        <v>2009</v>
      </c>
      <c r="E309" s="4" t="s">
        <v>221</v>
      </c>
      <c r="F309" s="4" t="s">
        <v>32</v>
      </c>
      <c r="G309" s="6">
        <v>44609</v>
      </c>
      <c r="H309" s="3">
        <v>102</v>
      </c>
    </row>
    <row r="310" spans="1:8" ht="14.5" x14ac:dyDescent="0.35">
      <c r="A310" s="3">
        <v>309</v>
      </c>
      <c r="B310" s="4" t="s">
        <v>11</v>
      </c>
      <c r="C310" s="3">
        <v>623</v>
      </c>
      <c r="D310" s="3">
        <v>2020</v>
      </c>
      <c r="E310" s="4" t="s">
        <v>178</v>
      </c>
      <c r="F310" s="4" t="s">
        <v>45</v>
      </c>
      <c r="G310" s="6">
        <v>44610</v>
      </c>
      <c r="H310" s="3">
        <v>101</v>
      </c>
    </row>
    <row r="311" spans="1:8" ht="14.5" x14ac:dyDescent="0.35">
      <c r="A311" s="3">
        <v>310</v>
      </c>
      <c r="B311" s="4" t="s">
        <v>16</v>
      </c>
      <c r="C311" s="3">
        <v>561</v>
      </c>
      <c r="D311" s="3">
        <v>1986</v>
      </c>
      <c r="E311" s="4" t="s">
        <v>222</v>
      </c>
      <c r="F311" s="4" t="s">
        <v>69</v>
      </c>
      <c r="G311" s="6">
        <v>44610</v>
      </c>
      <c r="H311" s="3">
        <v>101</v>
      </c>
    </row>
    <row r="312" spans="1:8" ht="14.5" x14ac:dyDescent="0.35">
      <c r="A312" s="3">
        <v>311</v>
      </c>
      <c r="B312" s="4" t="s">
        <v>11</v>
      </c>
      <c r="C312" s="3">
        <v>623</v>
      </c>
      <c r="D312" s="3">
        <v>2020</v>
      </c>
      <c r="E312" s="4" t="s">
        <v>178</v>
      </c>
      <c r="F312" s="4" t="s">
        <v>10</v>
      </c>
      <c r="G312" s="6">
        <v>44611</v>
      </c>
      <c r="H312" s="3">
        <v>103</v>
      </c>
    </row>
    <row r="313" spans="1:8" ht="14.5" x14ac:dyDescent="0.35">
      <c r="A313" s="3">
        <v>312</v>
      </c>
      <c r="B313" s="4" t="s">
        <v>8</v>
      </c>
      <c r="C313" s="3">
        <v>623</v>
      </c>
      <c r="D313" s="3">
        <v>2020</v>
      </c>
      <c r="E313" s="4" t="s">
        <v>223</v>
      </c>
      <c r="F313" s="4" t="s">
        <v>10</v>
      </c>
      <c r="G313" s="6">
        <v>44611</v>
      </c>
      <c r="H313" s="3">
        <v>114</v>
      </c>
    </row>
    <row r="314" spans="1:8" ht="14.5" x14ac:dyDescent="0.35">
      <c r="A314" s="3">
        <v>313</v>
      </c>
      <c r="B314" s="4" t="s">
        <v>8</v>
      </c>
      <c r="C314" s="3">
        <v>549</v>
      </c>
      <c r="D314" s="3">
        <v>1989</v>
      </c>
      <c r="E314" s="4" t="s">
        <v>36</v>
      </c>
      <c r="F314" s="4" t="s">
        <v>45</v>
      </c>
      <c r="G314" s="6">
        <v>44611</v>
      </c>
      <c r="H314" s="3">
        <v>103</v>
      </c>
    </row>
    <row r="315" spans="1:8" ht="14.5" x14ac:dyDescent="0.35">
      <c r="A315" s="3">
        <v>314</v>
      </c>
      <c r="B315" s="4" t="s">
        <v>11</v>
      </c>
      <c r="C315" s="3">
        <v>623</v>
      </c>
      <c r="D315" s="3">
        <v>2019</v>
      </c>
      <c r="E315" s="4" t="s">
        <v>224</v>
      </c>
      <c r="F315" s="4" t="s">
        <v>45</v>
      </c>
      <c r="G315" s="6">
        <v>44613</v>
      </c>
      <c r="H315" s="3">
        <v>102</v>
      </c>
    </row>
    <row r="316" spans="1:8" ht="14.5" x14ac:dyDescent="0.35">
      <c r="A316" s="3">
        <v>315</v>
      </c>
      <c r="B316" s="4" t="s">
        <v>11</v>
      </c>
      <c r="C316" s="3">
        <v>527</v>
      </c>
      <c r="D316" s="3">
        <v>2020</v>
      </c>
      <c r="E316" s="4" t="s">
        <v>225</v>
      </c>
      <c r="F316" s="4" t="s">
        <v>10</v>
      </c>
      <c r="G316" s="6">
        <v>44613</v>
      </c>
      <c r="H316" s="3">
        <v>102</v>
      </c>
    </row>
    <row r="317" spans="1:8" ht="14.5" x14ac:dyDescent="0.35">
      <c r="A317" s="3">
        <v>316</v>
      </c>
      <c r="B317" s="4" t="s">
        <v>16</v>
      </c>
      <c r="C317" s="3">
        <v>554</v>
      </c>
      <c r="D317" s="3">
        <v>2006</v>
      </c>
      <c r="E317" s="4" t="s">
        <v>226</v>
      </c>
      <c r="F317" s="4" t="s">
        <v>69</v>
      </c>
      <c r="G317" s="6">
        <v>44614</v>
      </c>
      <c r="H317" s="3">
        <v>105</v>
      </c>
    </row>
    <row r="318" spans="1:8" ht="14.5" x14ac:dyDescent="0.35">
      <c r="A318" s="3">
        <v>317</v>
      </c>
      <c r="B318" s="4" t="s">
        <v>11</v>
      </c>
      <c r="C318" s="3">
        <v>623</v>
      </c>
      <c r="D318" s="3">
        <v>2020</v>
      </c>
      <c r="E318" s="4" t="s">
        <v>51</v>
      </c>
      <c r="F318" s="4" t="s">
        <v>45</v>
      </c>
      <c r="G318" s="6">
        <v>44614</v>
      </c>
      <c r="H318" s="3">
        <v>103</v>
      </c>
    </row>
    <row r="319" spans="1:8" ht="14.5" x14ac:dyDescent="0.35">
      <c r="A319" s="3">
        <v>318</v>
      </c>
      <c r="B319" s="4" t="s">
        <v>37</v>
      </c>
      <c r="C319" s="3">
        <v>514</v>
      </c>
      <c r="D319" s="3">
        <v>2016</v>
      </c>
      <c r="E319" s="4" t="s">
        <v>136</v>
      </c>
      <c r="F319" s="4" t="s">
        <v>10</v>
      </c>
      <c r="G319" s="6">
        <v>44614</v>
      </c>
      <c r="H319" s="3">
        <v>102</v>
      </c>
    </row>
    <row r="320" spans="1:8" ht="14.5" x14ac:dyDescent="0.35">
      <c r="A320" s="3">
        <v>319</v>
      </c>
      <c r="B320" s="4" t="s">
        <v>61</v>
      </c>
      <c r="C320" s="3">
        <v>519</v>
      </c>
      <c r="D320" s="3">
        <v>1977</v>
      </c>
      <c r="E320" s="4" t="s">
        <v>227</v>
      </c>
      <c r="F320" s="4" t="s">
        <v>32</v>
      </c>
      <c r="G320" s="6">
        <v>44614</v>
      </c>
      <c r="H320" s="3">
        <v>104</v>
      </c>
    </row>
    <row r="321" spans="1:8" ht="14.5" x14ac:dyDescent="0.35">
      <c r="A321" s="3">
        <v>320</v>
      </c>
      <c r="B321" s="4" t="s">
        <v>8</v>
      </c>
      <c r="C321" s="3">
        <v>623</v>
      </c>
      <c r="D321" s="3">
        <v>1981</v>
      </c>
      <c r="E321" s="4" t="s">
        <v>51</v>
      </c>
      <c r="F321" s="4" t="s">
        <v>45</v>
      </c>
      <c r="G321" s="6">
        <v>44614</v>
      </c>
      <c r="H321" s="3">
        <v>106</v>
      </c>
    </row>
    <row r="322" spans="1:8" ht="14.5" x14ac:dyDescent="0.35">
      <c r="A322" s="3">
        <v>321</v>
      </c>
      <c r="B322" s="4" t="s">
        <v>8</v>
      </c>
      <c r="C322" s="3">
        <v>623</v>
      </c>
      <c r="D322" s="3">
        <v>2020</v>
      </c>
      <c r="E322" s="4" t="s">
        <v>58</v>
      </c>
      <c r="F322" s="4" t="s">
        <v>10</v>
      </c>
      <c r="G322" s="6">
        <v>44615</v>
      </c>
      <c r="H322" s="3">
        <v>102</v>
      </c>
    </row>
    <row r="323" spans="1:8" ht="14.5" x14ac:dyDescent="0.35">
      <c r="A323" s="3">
        <v>322</v>
      </c>
      <c r="B323" s="4" t="s">
        <v>8</v>
      </c>
      <c r="C323" s="3">
        <v>623</v>
      </c>
      <c r="D323" s="3">
        <v>2020</v>
      </c>
      <c r="E323" s="4" t="s">
        <v>33</v>
      </c>
      <c r="F323" s="4" t="s">
        <v>10</v>
      </c>
      <c r="G323" s="6">
        <v>44615</v>
      </c>
      <c r="H323" s="3">
        <v>108</v>
      </c>
    </row>
    <row r="324" spans="1:8" ht="14.5" x14ac:dyDescent="0.35">
      <c r="A324" s="3">
        <v>323</v>
      </c>
      <c r="B324" s="4" t="s">
        <v>8</v>
      </c>
      <c r="C324" s="3">
        <v>623</v>
      </c>
      <c r="D324" s="3">
        <v>2020</v>
      </c>
      <c r="E324" s="4" t="s">
        <v>92</v>
      </c>
      <c r="F324" s="4" t="s">
        <v>10</v>
      </c>
      <c r="G324" s="6">
        <v>44615</v>
      </c>
      <c r="H324" s="3">
        <v>114</v>
      </c>
    </row>
    <row r="325" spans="1:8" ht="14.5" x14ac:dyDescent="0.35">
      <c r="A325" s="3">
        <v>324</v>
      </c>
      <c r="B325" s="4" t="s">
        <v>8</v>
      </c>
      <c r="C325" s="3">
        <v>623</v>
      </c>
      <c r="D325" s="3">
        <v>2020</v>
      </c>
      <c r="E325" s="4" t="s">
        <v>228</v>
      </c>
      <c r="F325" s="4" t="s">
        <v>45</v>
      </c>
      <c r="G325" s="6">
        <v>44615</v>
      </c>
      <c r="H325" s="3">
        <v>102</v>
      </c>
    </row>
    <row r="326" spans="1:8" ht="14.5" x14ac:dyDescent="0.35">
      <c r="A326" s="3">
        <v>325</v>
      </c>
      <c r="B326" s="4" t="s">
        <v>11</v>
      </c>
      <c r="C326" s="3">
        <v>623</v>
      </c>
      <c r="D326" s="3">
        <v>2020</v>
      </c>
      <c r="E326" s="4" t="s">
        <v>163</v>
      </c>
      <c r="F326" s="4" t="s">
        <v>10</v>
      </c>
      <c r="G326" s="6">
        <v>44615</v>
      </c>
      <c r="H326" s="3">
        <v>102</v>
      </c>
    </row>
    <row r="327" spans="1:8" ht="14.5" x14ac:dyDescent="0.35">
      <c r="A327" s="3">
        <v>326</v>
      </c>
      <c r="B327" s="4" t="s">
        <v>8</v>
      </c>
      <c r="C327" s="3">
        <v>623</v>
      </c>
      <c r="D327" s="3">
        <v>2020</v>
      </c>
      <c r="E327" s="4" t="s">
        <v>100</v>
      </c>
      <c r="F327" s="4" t="s">
        <v>10</v>
      </c>
      <c r="G327" s="6">
        <v>44616</v>
      </c>
      <c r="H327" s="3">
        <v>108</v>
      </c>
    </row>
    <row r="328" spans="1:8" ht="14.5" x14ac:dyDescent="0.35">
      <c r="A328" s="3">
        <v>327</v>
      </c>
      <c r="B328" s="4" t="s">
        <v>61</v>
      </c>
      <c r="C328" s="3">
        <v>526</v>
      </c>
      <c r="D328" s="3">
        <v>2010</v>
      </c>
      <c r="E328" s="3">
        <v>560</v>
      </c>
      <c r="F328" s="4" t="s">
        <v>32</v>
      </c>
      <c r="G328" s="6">
        <v>44616</v>
      </c>
      <c r="H328" s="3">
        <v>114</v>
      </c>
    </row>
    <row r="329" spans="1:8" ht="14.5" x14ac:dyDescent="0.35">
      <c r="A329" s="3">
        <v>328</v>
      </c>
      <c r="B329" s="4" t="s">
        <v>16</v>
      </c>
      <c r="C329" s="3">
        <v>611</v>
      </c>
      <c r="D329" s="3">
        <v>2008</v>
      </c>
      <c r="E329" s="4" t="s">
        <v>229</v>
      </c>
      <c r="F329" s="4" t="s">
        <v>69</v>
      </c>
      <c r="G329" s="6">
        <v>44616</v>
      </c>
      <c r="H329" s="3">
        <v>111</v>
      </c>
    </row>
    <row r="330" spans="1:8" ht="14.5" x14ac:dyDescent="0.35">
      <c r="A330" s="3">
        <v>329</v>
      </c>
      <c r="B330" s="4" t="s">
        <v>8</v>
      </c>
      <c r="C330" s="3">
        <v>623</v>
      </c>
      <c r="D330" s="3">
        <v>1996</v>
      </c>
      <c r="E330" s="4" t="s">
        <v>33</v>
      </c>
      <c r="F330" s="4" t="s">
        <v>45</v>
      </c>
      <c r="G330" s="6">
        <v>44616</v>
      </c>
      <c r="H330" s="3">
        <v>105</v>
      </c>
    </row>
    <row r="331" spans="1:8" ht="14.5" x14ac:dyDescent="0.35">
      <c r="A331" s="3">
        <v>330</v>
      </c>
      <c r="B331" s="4" t="s">
        <v>8</v>
      </c>
      <c r="C331" s="3">
        <v>562</v>
      </c>
      <c r="D331" s="3">
        <v>2020</v>
      </c>
      <c r="E331" s="4" t="s">
        <v>230</v>
      </c>
      <c r="F331" s="4" t="s">
        <v>10</v>
      </c>
      <c r="G331" s="6">
        <v>44617</v>
      </c>
      <c r="H331" s="3">
        <v>104</v>
      </c>
    </row>
    <row r="332" spans="1:8" ht="14.5" x14ac:dyDescent="0.35">
      <c r="A332" s="3">
        <v>331</v>
      </c>
      <c r="B332" s="4" t="s">
        <v>16</v>
      </c>
      <c r="C332" s="3">
        <v>611</v>
      </c>
      <c r="D332" s="3">
        <v>2005</v>
      </c>
      <c r="E332" s="4" t="s">
        <v>231</v>
      </c>
      <c r="F332" s="4" t="s">
        <v>18</v>
      </c>
      <c r="G332" s="6">
        <v>44617</v>
      </c>
      <c r="H332" s="3">
        <v>102</v>
      </c>
    </row>
    <row r="333" spans="1:8" ht="14.5" x14ac:dyDescent="0.35">
      <c r="A333" s="3">
        <v>332</v>
      </c>
      <c r="B333" s="4" t="s">
        <v>8</v>
      </c>
      <c r="C333" s="3">
        <v>623</v>
      </c>
      <c r="D333" s="3">
        <v>2012</v>
      </c>
      <c r="E333" s="4" t="s">
        <v>33</v>
      </c>
      <c r="F333" s="4" t="s">
        <v>10</v>
      </c>
      <c r="G333" s="6">
        <v>44618</v>
      </c>
      <c r="H333" s="3">
        <v>107</v>
      </c>
    </row>
    <row r="334" spans="1:8" ht="14.5" x14ac:dyDescent="0.35">
      <c r="A334" s="3">
        <v>333</v>
      </c>
      <c r="B334" s="4" t="s">
        <v>8</v>
      </c>
      <c r="C334" s="3">
        <v>623</v>
      </c>
      <c r="D334" s="3">
        <v>2020</v>
      </c>
      <c r="E334" s="4" t="s">
        <v>232</v>
      </c>
      <c r="F334" s="4" t="s">
        <v>45</v>
      </c>
      <c r="G334" s="6">
        <v>44619</v>
      </c>
      <c r="H334" s="3">
        <v>111</v>
      </c>
    </row>
    <row r="335" spans="1:8" ht="14.5" x14ac:dyDescent="0.35">
      <c r="A335" s="3">
        <v>334</v>
      </c>
      <c r="B335" s="4" t="s">
        <v>8</v>
      </c>
      <c r="C335" s="3">
        <v>595</v>
      </c>
      <c r="D335" s="3">
        <v>2012</v>
      </c>
      <c r="E335" s="4" t="s">
        <v>233</v>
      </c>
      <c r="F335" s="4" t="s">
        <v>10</v>
      </c>
      <c r="G335" s="6">
        <v>44619</v>
      </c>
      <c r="H335" s="3">
        <v>114</v>
      </c>
    </row>
    <row r="336" spans="1:8" ht="14.5" x14ac:dyDescent="0.35">
      <c r="A336" s="3">
        <v>335</v>
      </c>
      <c r="B336" s="4" t="s">
        <v>8</v>
      </c>
      <c r="C336" s="3">
        <v>623</v>
      </c>
      <c r="D336" s="3">
        <v>2016</v>
      </c>
      <c r="E336" s="4" t="s">
        <v>58</v>
      </c>
      <c r="F336" s="4" t="s">
        <v>10</v>
      </c>
      <c r="G336" s="6">
        <v>44619</v>
      </c>
      <c r="H336" s="3">
        <v>102</v>
      </c>
    </row>
    <row r="337" spans="1:8" ht="14.5" x14ac:dyDescent="0.35">
      <c r="A337" s="3">
        <v>336</v>
      </c>
      <c r="B337" s="4" t="s">
        <v>8</v>
      </c>
      <c r="C337" s="3">
        <v>538</v>
      </c>
      <c r="D337" s="3">
        <v>2016</v>
      </c>
      <c r="E337" s="4" t="s">
        <v>24</v>
      </c>
      <c r="F337" s="4" t="s">
        <v>10</v>
      </c>
      <c r="G337" s="6">
        <v>44619</v>
      </c>
      <c r="H337" s="3">
        <v>109</v>
      </c>
    </row>
    <row r="338" spans="1:8" ht="14.5" x14ac:dyDescent="0.35">
      <c r="A338" s="3">
        <v>337</v>
      </c>
      <c r="B338" s="4" t="s">
        <v>8</v>
      </c>
      <c r="C338" s="3">
        <v>616</v>
      </c>
      <c r="D338" s="3">
        <v>2016</v>
      </c>
      <c r="E338" s="4" t="s">
        <v>232</v>
      </c>
      <c r="F338" s="4" t="s">
        <v>10</v>
      </c>
      <c r="G338" s="6">
        <v>44620</v>
      </c>
      <c r="H338" s="3">
        <v>104</v>
      </c>
    </row>
    <row r="339" spans="1:8" ht="14.5" x14ac:dyDescent="0.35">
      <c r="A339" s="3">
        <v>338</v>
      </c>
      <c r="B339" s="4" t="s">
        <v>8</v>
      </c>
      <c r="C339" s="3">
        <v>514</v>
      </c>
      <c r="D339" s="3">
        <v>2016</v>
      </c>
      <c r="E339" s="4" t="s">
        <v>209</v>
      </c>
      <c r="F339" s="4" t="s">
        <v>10</v>
      </c>
      <c r="G339" s="6">
        <v>44620</v>
      </c>
      <c r="H339" s="3">
        <v>114</v>
      </c>
    </row>
    <row r="340" spans="1:8" ht="14.5" x14ac:dyDescent="0.35">
      <c r="A340" s="3">
        <v>339</v>
      </c>
      <c r="B340" s="4" t="s">
        <v>8</v>
      </c>
      <c r="C340" s="3">
        <v>549</v>
      </c>
      <c r="D340" s="3">
        <v>2016</v>
      </c>
      <c r="E340" s="4" t="s">
        <v>234</v>
      </c>
      <c r="F340" s="4" t="s">
        <v>10</v>
      </c>
      <c r="G340" s="6">
        <v>44620</v>
      </c>
      <c r="H340" s="3">
        <v>102</v>
      </c>
    </row>
    <row r="341" spans="1:8" ht="14.5" x14ac:dyDescent="0.35">
      <c r="A341" s="3">
        <v>340</v>
      </c>
      <c r="B341" s="4" t="s">
        <v>11</v>
      </c>
      <c r="C341" s="3">
        <v>597</v>
      </c>
      <c r="D341" s="3">
        <v>2016</v>
      </c>
      <c r="E341" s="4" t="s">
        <v>46</v>
      </c>
      <c r="F341" s="4" t="s">
        <v>10</v>
      </c>
      <c r="G341" s="6">
        <v>44620</v>
      </c>
      <c r="H341" s="3">
        <v>102</v>
      </c>
    </row>
    <row r="342" spans="1:8" ht="14.5" x14ac:dyDescent="0.35">
      <c r="A342" s="3">
        <v>341</v>
      </c>
      <c r="B342" s="4" t="s">
        <v>235</v>
      </c>
      <c r="C342" s="3">
        <v>619</v>
      </c>
      <c r="D342" s="3">
        <v>2001</v>
      </c>
      <c r="E342" s="4" t="s">
        <v>236</v>
      </c>
      <c r="F342" s="4" t="s">
        <v>32</v>
      </c>
      <c r="G342" s="6">
        <v>44620</v>
      </c>
      <c r="H342" s="3">
        <v>102</v>
      </c>
    </row>
    <row r="343" spans="1:8" ht="14.5" x14ac:dyDescent="0.35">
      <c r="A343" s="3">
        <v>342</v>
      </c>
      <c r="B343" s="4" t="s">
        <v>8</v>
      </c>
      <c r="C343" s="3">
        <v>514</v>
      </c>
      <c r="D343" s="3">
        <v>2016</v>
      </c>
      <c r="E343" s="4" t="s">
        <v>237</v>
      </c>
      <c r="F343" s="4" t="s">
        <v>10</v>
      </c>
      <c r="G343" s="6">
        <v>44620</v>
      </c>
      <c r="H343" s="3">
        <v>109</v>
      </c>
    </row>
    <row r="344" spans="1:8" ht="14.5" x14ac:dyDescent="0.35">
      <c r="A344" s="3">
        <v>343</v>
      </c>
      <c r="B344" s="4" t="s">
        <v>37</v>
      </c>
      <c r="C344" s="3">
        <v>623</v>
      </c>
      <c r="D344" s="3">
        <v>2016</v>
      </c>
      <c r="E344" s="4" t="s">
        <v>238</v>
      </c>
      <c r="F344" s="4" t="s">
        <v>10</v>
      </c>
      <c r="G344" s="6">
        <v>44620</v>
      </c>
      <c r="H344" s="3">
        <v>102</v>
      </c>
    </row>
    <row r="345" spans="1:8" ht="14.5" x14ac:dyDescent="0.35">
      <c r="A345" s="3">
        <v>344</v>
      </c>
      <c r="B345" s="4" t="s">
        <v>37</v>
      </c>
      <c r="C345" s="3">
        <v>623</v>
      </c>
      <c r="D345" s="3">
        <v>2016</v>
      </c>
      <c r="E345" s="4" t="s">
        <v>195</v>
      </c>
      <c r="F345" s="4" t="s">
        <v>10</v>
      </c>
      <c r="G345" s="5">
        <v>44621</v>
      </c>
      <c r="H345" s="3">
        <v>104</v>
      </c>
    </row>
    <row r="346" spans="1:8" ht="14.5" x14ac:dyDescent="0.35">
      <c r="A346" s="3">
        <v>345</v>
      </c>
      <c r="B346" s="4" t="s">
        <v>8</v>
      </c>
      <c r="C346" s="3">
        <v>623</v>
      </c>
      <c r="D346" s="3">
        <v>2016</v>
      </c>
      <c r="E346" s="4" t="s">
        <v>58</v>
      </c>
      <c r="F346" s="4" t="s">
        <v>47</v>
      </c>
      <c r="G346" s="5">
        <v>44621</v>
      </c>
      <c r="H346" s="3">
        <v>101</v>
      </c>
    </row>
    <row r="347" spans="1:8" ht="14.5" x14ac:dyDescent="0.35">
      <c r="A347" s="3">
        <v>346</v>
      </c>
      <c r="B347" s="4" t="s">
        <v>8</v>
      </c>
      <c r="C347" s="3">
        <v>623</v>
      </c>
      <c r="D347" s="3">
        <v>2007</v>
      </c>
      <c r="E347" s="4" t="s">
        <v>51</v>
      </c>
      <c r="F347" s="4" t="s">
        <v>18</v>
      </c>
      <c r="G347" s="5">
        <v>44622</v>
      </c>
      <c r="H347" s="3">
        <v>103</v>
      </c>
    </row>
    <row r="348" spans="1:8" ht="14.5" x14ac:dyDescent="0.35">
      <c r="A348" s="3">
        <v>347</v>
      </c>
      <c r="B348" s="4" t="s">
        <v>8</v>
      </c>
      <c r="C348" s="3">
        <v>623</v>
      </c>
      <c r="D348" s="3">
        <v>2016</v>
      </c>
      <c r="E348" s="4" t="s">
        <v>33</v>
      </c>
      <c r="F348" s="4" t="s">
        <v>10</v>
      </c>
      <c r="G348" s="5">
        <v>44622</v>
      </c>
      <c r="H348" s="3">
        <v>114</v>
      </c>
    </row>
    <row r="349" spans="1:8" ht="14.5" x14ac:dyDescent="0.35">
      <c r="A349" s="3">
        <v>348</v>
      </c>
      <c r="B349" s="4" t="s">
        <v>61</v>
      </c>
      <c r="C349" s="3">
        <v>519</v>
      </c>
      <c r="D349" s="3">
        <v>2005</v>
      </c>
      <c r="E349" s="4" t="s">
        <v>239</v>
      </c>
      <c r="F349" s="4" t="s">
        <v>32</v>
      </c>
      <c r="G349" s="5">
        <v>44622</v>
      </c>
      <c r="H349" s="3">
        <v>102</v>
      </c>
    </row>
    <row r="350" spans="1:8" ht="14.5" x14ac:dyDescent="0.35">
      <c r="A350" s="3">
        <v>349</v>
      </c>
      <c r="B350" s="4" t="s">
        <v>8</v>
      </c>
      <c r="C350" s="3">
        <v>623</v>
      </c>
      <c r="D350" s="3">
        <v>2016</v>
      </c>
      <c r="E350" s="4" t="s">
        <v>240</v>
      </c>
      <c r="F350" s="4" t="s">
        <v>10</v>
      </c>
      <c r="G350" s="5">
        <v>44622</v>
      </c>
      <c r="H350" s="3">
        <v>114</v>
      </c>
    </row>
    <row r="351" spans="1:8" ht="14.5" x14ac:dyDescent="0.35">
      <c r="A351" s="3">
        <v>350</v>
      </c>
      <c r="B351" s="4" t="s">
        <v>8</v>
      </c>
      <c r="C351" s="3">
        <v>623</v>
      </c>
      <c r="D351" s="3">
        <v>2016</v>
      </c>
      <c r="E351" s="4" t="s">
        <v>209</v>
      </c>
      <c r="F351" s="4" t="s">
        <v>10</v>
      </c>
      <c r="G351" s="5">
        <v>44622</v>
      </c>
      <c r="H351" s="3">
        <v>114</v>
      </c>
    </row>
    <row r="352" spans="1:8" ht="14.5" x14ac:dyDescent="0.35">
      <c r="A352" s="3">
        <v>351</v>
      </c>
      <c r="B352" s="4" t="s">
        <v>8</v>
      </c>
      <c r="C352" s="3">
        <v>514</v>
      </c>
      <c r="D352" s="3">
        <v>2016</v>
      </c>
      <c r="E352" s="4" t="s">
        <v>22</v>
      </c>
      <c r="F352" s="4" t="s">
        <v>10</v>
      </c>
      <c r="G352" s="5">
        <v>44623</v>
      </c>
      <c r="H352" s="3">
        <v>114</v>
      </c>
    </row>
    <row r="353" spans="1:8" ht="14.5" x14ac:dyDescent="0.35">
      <c r="A353" s="3">
        <v>352</v>
      </c>
      <c r="B353" s="4" t="s">
        <v>61</v>
      </c>
      <c r="C353" s="3">
        <v>612</v>
      </c>
      <c r="D353" s="3">
        <v>2002</v>
      </c>
      <c r="E353" s="4" t="s">
        <v>241</v>
      </c>
      <c r="F353" s="4" t="s">
        <v>32</v>
      </c>
      <c r="G353" s="5">
        <v>44623</v>
      </c>
      <c r="H353" s="3">
        <v>106</v>
      </c>
    </row>
    <row r="354" spans="1:8" ht="14.5" x14ac:dyDescent="0.35">
      <c r="A354" s="3">
        <v>353</v>
      </c>
      <c r="B354" s="4" t="s">
        <v>8</v>
      </c>
      <c r="C354" s="3">
        <v>623</v>
      </c>
      <c r="D354" s="3">
        <v>2016</v>
      </c>
      <c r="E354" s="4" t="s">
        <v>51</v>
      </c>
      <c r="F354" s="4" t="s">
        <v>18</v>
      </c>
      <c r="G354" s="5">
        <v>44623</v>
      </c>
      <c r="H354" s="3">
        <v>109</v>
      </c>
    </row>
    <row r="355" spans="1:8" ht="14.5" x14ac:dyDescent="0.35">
      <c r="A355" s="3">
        <v>354</v>
      </c>
      <c r="B355" s="4" t="s">
        <v>8</v>
      </c>
      <c r="C355" s="3">
        <v>616</v>
      </c>
      <c r="D355" s="3">
        <v>2016</v>
      </c>
      <c r="E355" s="4" t="s">
        <v>242</v>
      </c>
      <c r="F355" s="4" t="s">
        <v>10</v>
      </c>
      <c r="G355" s="5">
        <v>44624</v>
      </c>
      <c r="H355" s="3">
        <v>104</v>
      </c>
    </row>
    <row r="356" spans="1:8" ht="14.5" x14ac:dyDescent="0.35">
      <c r="A356" s="3">
        <v>355</v>
      </c>
      <c r="B356" s="4" t="s">
        <v>8</v>
      </c>
      <c r="C356" s="3">
        <v>623</v>
      </c>
      <c r="D356" s="3">
        <v>1970</v>
      </c>
      <c r="E356" s="4" t="s">
        <v>36</v>
      </c>
      <c r="F356" s="4" t="s">
        <v>45</v>
      </c>
      <c r="G356" s="5">
        <v>44624</v>
      </c>
      <c r="H356" s="3">
        <v>114</v>
      </c>
    </row>
    <row r="357" spans="1:8" ht="14.5" x14ac:dyDescent="0.35">
      <c r="A357" s="3">
        <v>356</v>
      </c>
      <c r="B357" s="4" t="s">
        <v>8</v>
      </c>
      <c r="C357" s="3">
        <v>623</v>
      </c>
      <c r="D357" s="3">
        <v>2020</v>
      </c>
      <c r="E357" s="4" t="s">
        <v>53</v>
      </c>
      <c r="F357" s="4" t="s">
        <v>10</v>
      </c>
      <c r="G357" s="5">
        <v>44624</v>
      </c>
      <c r="H357" s="3">
        <v>108</v>
      </c>
    </row>
    <row r="358" spans="1:8" ht="14.5" x14ac:dyDescent="0.35">
      <c r="A358" s="3">
        <v>357</v>
      </c>
      <c r="B358" s="4" t="s">
        <v>8</v>
      </c>
      <c r="C358" s="3">
        <v>623</v>
      </c>
      <c r="D358" s="3">
        <v>2020</v>
      </c>
      <c r="E358" s="4" t="s">
        <v>243</v>
      </c>
      <c r="F358" s="4" t="s">
        <v>10</v>
      </c>
      <c r="G358" s="6">
        <v>44633</v>
      </c>
      <c r="H358" s="3">
        <v>103</v>
      </c>
    </row>
    <row r="359" spans="1:8" ht="14.5" x14ac:dyDescent="0.35">
      <c r="A359" s="3">
        <v>358</v>
      </c>
      <c r="B359" s="4" t="s">
        <v>8</v>
      </c>
      <c r="C359" s="3">
        <v>623</v>
      </c>
      <c r="D359" s="3">
        <v>2020</v>
      </c>
      <c r="E359" s="4" t="s">
        <v>244</v>
      </c>
      <c r="F359" s="4" t="s">
        <v>10</v>
      </c>
      <c r="G359" s="6">
        <v>44633</v>
      </c>
      <c r="H359" s="3">
        <v>103</v>
      </c>
    </row>
    <row r="360" spans="1:8" ht="14.5" x14ac:dyDescent="0.35">
      <c r="A360" s="3">
        <v>359</v>
      </c>
      <c r="B360" s="4" t="s">
        <v>8</v>
      </c>
      <c r="C360" s="3">
        <v>623</v>
      </c>
      <c r="D360" s="3">
        <v>2020</v>
      </c>
      <c r="E360" s="4" t="s">
        <v>23</v>
      </c>
      <c r="F360" s="4" t="s">
        <v>18</v>
      </c>
      <c r="G360" s="6">
        <v>44633</v>
      </c>
      <c r="H360" s="3">
        <v>102</v>
      </c>
    </row>
    <row r="361" spans="1:8" ht="14.5" x14ac:dyDescent="0.35">
      <c r="A361" s="3">
        <v>360</v>
      </c>
      <c r="B361" s="4" t="s">
        <v>37</v>
      </c>
      <c r="C361" s="3">
        <v>623</v>
      </c>
      <c r="D361" s="3">
        <v>2020</v>
      </c>
      <c r="E361" s="4" t="s">
        <v>245</v>
      </c>
      <c r="F361" s="4" t="s">
        <v>45</v>
      </c>
      <c r="G361" s="6">
        <v>44633</v>
      </c>
      <c r="H361" s="3">
        <v>107</v>
      </c>
    </row>
    <row r="362" spans="1:8" ht="14.5" x14ac:dyDescent="0.35">
      <c r="A362" s="3">
        <v>361</v>
      </c>
      <c r="B362" s="4" t="s">
        <v>16</v>
      </c>
      <c r="C362" s="3">
        <v>611</v>
      </c>
      <c r="D362" s="3">
        <v>2009</v>
      </c>
      <c r="E362" s="4" t="s">
        <v>246</v>
      </c>
      <c r="F362" s="4" t="s">
        <v>28</v>
      </c>
      <c r="G362" s="6">
        <v>44633</v>
      </c>
      <c r="H362" s="3">
        <v>103</v>
      </c>
    </row>
    <row r="363" spans="1:8" ht="14.5" x14ac:dyDescent="0.35">
      <c r="A363" s="3">
        <v>362</v>
      </c>
      <c r="B363" s="4" t="s">
        <v>8</v>
      </c>
      <c r="C363" s="3">
        <v>623</v>
      </c>
      <c r="D363" s="3">
        <v>1998</v>
      </c>
      <c r="E363" s="4" t="s">
        <v>247</v>
      </c>
      <c r="F363" s="4" t="s">
        <v>28</v>
      </c>
      <c r="G363" s="6">
        <v>44634</v>
      </c>
      <c r="H363" s="3">
        <v>109</v>
      </c>
    </row>
    <row r="364" spans="1:8" ht="14.5" x14ac:dyDescent="0.35">
      <c r="A364" s="3">
        <v>363</v>
      </c>
      <c r="B364" s="4" t="s">
        <v>8</v>
      </c>
      <c r="C364" s="3">
        <v>623</v>
      </c>
      <c r="D364" s="3">
        <v>2020</v>
      </c>
      <c r="E364" s="4" t="s">
        <v>58</v>
      </c>
      <c r="F364" s="4" t="s">
        <v>45</v>
      </c>
      <c r="G364" s="6">
        <v>44634</v>
      </c>
      <c r="H364" s="3">
        <v>102</v>
      </c>
    </row>
    <row r="365" spans="1:8" ht="14.5" x14ac:dyDescent="0.35">
      <c r="A365" s="3">
        <v>364</v>
      </c>
      <c r="B365" s="4" t="s">
        <v>8</v>
      </c>
      <c r="C365" s="3">
        <v>623</v>
      </c>
      <c r="D365" s="3">
        <v>2020</v>
      </c>
      <c r="E365" s="4" t="s">
        <v>57</v>
      </c>
      <c r="F365" s="4" t="s">
        <v>18</v>
      </c>
      <c r="G365" s="6">
        <v>44635</v>
      </c>
      <c r="H365" s="3">
        <v>104</v>
      </c>
    </row>
    <row r="366" spans="1:8" ht="14.5" x14ac:dyDescent="0.35">
      <c r="A366" s="3">
        <v>365</v>
      </c>
      <c r="B366" s="4" t="s">
        <v>25</v>
      </c>
      <c r="C366" s="3">
        <v>611</v>
      </c>
      <c r="D366" s="3">
        <v>2007</v>
      </c>
      <c r="E366" s="4" t="s">
        <v>248</v>
      </c>
      <c r="F366" s="4" t="s">
        <v>18</v>
      </c>
      <c r="G366" s="6">
        <v>44635</v>
      </c>
      <c r="H366" s="3">
        <v>102</v>
      </c>
    </row>
    <row r="367" spans="1:8" ht="14.5" x14ac:dyDescent="0.35">
      <c r="A367" s="3">
        <v>366</v>
      </c>
      <c r="B367" s="4" t="s">
        <v>8</v>
      </c>
      <c r="C367" s="3">
        <v>623</v>
      </c>
      <c r="D367" s="3">
        <v>2020</v>
      </c>
      <c r="E367" s="4" t="s">
        <v>249</v>
      </c>
      <c r="F367" s="4" t="s">
        <v>18</v>
      </c>
      <c r="G367" s="6">
        <v>44635</v>
      </c>
      <c r="H367" s="3">
        <v>114</v>
      </c>
    </row>
    <row r="368" spans="1:8" ht="14.5" x14ac:dyDescent="0.35">
      <c r="A368" s="3">
        <v>367</v>
      </c>
      <c r="B368" s="4" t="s">
        <v>8</v>
      </c>
      <c r="C368" s="3">
        <v>616</v>
      </c>
      <c r="D368" s="3">
        <v>2020</v>
      </c>
      <c r="E368" s="4" t="s">
        <v>33</v>
      </c>
      <c r="F368" s="4" t="s">
        <v>10</v>
      </c>
      <c r="G368" s="6">
        <v>44635</v>
      </c>
      <c r="H368" s="3">
        <v>105</v>
      </c>
    </row>
    <row r="369" spans="1:8" ht="14.5" x14ac:dyDescent="0.35">
      <c r="A369" s="3">
        <v>368</v>
      </c>
      <c r="B369" s="4" t="s">
        <v>16</v>
      </c>
      <c r="C369" s="3">
        <v>545</v>
      </c>
      <c r="D369" s="3">
        <v>2006</v>
      </c>
      <c r="E369" s="4" t="s">
        <v>250</v>
      </c>
      <c r="F369" s="4" t="s">
        <v>18</v>
      </c>
      <c r="G369" s="6">
        <v>44636</v>
      </c>
      <c r="H369" s="3">
        <v>102</v>
      </c>
    </row>
    <row r="370" spans="1:8" ht="14.5" x14ac:dyDescent="0.35">
      <c r="A370" s="3">
        <v>369</v>
      </c>
      <c r="B370" s="4" t="s">
        <v>11</v>
      </c>
      <c r="C370" s="3">
        <v>549</v>
      </c>
      <c r="D370" s="3">
        <v>2020</v>
      </c>
      <c r="E370" s="4" t="s">
        <v>251</v>
      </c>
      <c r="F370" s="4" t="s">
        <v>10</v>
      </c>
      <c r="G370" s="6">
        <v>44636</v>
      </c>
      <c r="H370" s="3">
        <v>101</v>
      </c>
    </row>
    <row r="371" spans="1:8" ht="14.5" x14ac:dyDescent="0.35">
      <c r="A371" s="3">
        <v>370</v>
      </c>
      <c r="B371" s="4" t="s">
        <v>61</v>
      </c>
      <c r="C371" s="3">
        <v>519</v>
      </c>
      <c r="D371" s="3">
        <v>1980</v>
      </c>
      <c r="E371" s="4" t="s">
        <v>252</v>
      </c>
      <c r="F371" s="4" t="s">
        <v>32</v>
      </c>
      <c r="G371" s="6">
        <v>44636</v>
      </c>
      <c r="H371" s="3">
        <v>116</v>
      </c>
    </row>
    <row r="372" spans="1:8" ht="14.5" x14ac:dyDescent="0.35">
      <c r="A372" s="3">
        <v>371</v>
      </c>
      <c r="B372" s="4" t="s">
        <v>8</v>
      </c>
      <c r="C372" s="3">
        <v>623</v>
      </c>
      <c r="D372" s="3">
        <v>2020</v>
      </c>
      <c r="E372" s="4" t="s">
        <v>253</v>
      </c>
      <c r="F372" s="4" t="s">
        <v>10</v>
      </c>
      <c r="G372" s="6">
        <v>44637</v>
      </c>
      <c r="H372" s="3">
        <v>103</v>
      </c>
    </row>
    <row r="373" spans="1:8" ht="14.5" x14ac:dyDescent="0.35">
      <c r="A373" s="3">
        <v>372</v>
      </c>
      <c r="B373" s="4" t="s">
        <v>8</v>
      </c>
      <c r="C373" s="3">
        <v>623</v>
      </c>
      <c r="D373" s="3">
        <v>2020</v>
      </c>
      <c r="E373" s="4" t="s">
        <v>100</v>
      </c>
      <c r="F373" s="4" t="s">
        <v>10</v>
      </c>
      <c r="G373" s="6">
        <v>44637</v>
      </c>
      <c r="H373" s="3">
        <v>102</v>
      </c>
    </row>
    <row r="374" spans="1:8" ht="14.5" x14ac:dyDescent="0.35">
      <c r="A374" s="3">
        <v>373</v>
      </c>
      <c r="B374" s="4" t="s">
        <v>16</v>
      </c>
      <c r="C374" s="3">
        <v>611</v>
      </c>
      <c r="D374" s="3">
        <v>2003</v>
      </c>
      <c r="E374" s="4" t="s">
        <v>254</v>
      </c>
      <c r="F374" s="4" t="s">
        <v>28</v>
      </c>
      <c r="G374" s="6">
        <v>44637</v>
      </c>
      <c r="H374" s="3">
        <v>102</v>
      </c>
    </row>
    <row r="375" spans="1:8" ht="14.5" x14ac:dyDescent="0.35">
      <c r="A375" s="3">
        <v>374</v>
      </c>
      <c r="B375" s="4" t="s">
        <v>16</v>
      </c>
      <c r="C375" s="3">
        <v>550</v>
      </c>
      <c r="D375" s="3">
        <v>1999</v>
      </c>
      <c r="E375" s="4" t="s">
        <v>97</v>
      </c>
      <c r="F375" s="4" t="s">
        <v>69</v>
      </c>
      <c r="G375" s="6">
        <v>44638</v>
      </c>
      <c r="H375" s="3">
        <v>102</v>
      </c>
    </row>
    <row r="376" spans="1:8" ht="14.5" x14ac:dyDescent="0.35">
      <c r="A376" s="3">
        <v>375</v>
      </c>
      <c r="B376" s="4" t="s">
        <v>11</v>
      </c>
      <c r="C376" s="3">
        <v>623</v>
      </c>
      <c r="D376" s="3">
        <v>1996</v>
      </c>
      <c r="E376" s="4" t="s">
        <v>244</v>
      </c>
      <c r="F376" s="4" t="s">
        <v>45</v>
      </c>
      <c r="G376" s="6">
        <v>44638</v>
      </c>
      <c r="H376" s="3">
        <v>101</v>
      </c>
    </row>
    <row r="377" spans="1:8" ht="14.5" x14ac:dyDescent="0.35">
      <c r="A377" s="3">
        <v>376</v>
      </c>
      <c r="B377" s="4" t="s">
        <v>8</v>
      </c>
      <c r="C377" s="3">
        <v>623</v>
      </c>
      <c r="D377" s="3">
        <v>2020</v>
      </c>
      <c r="E377" s="4" t="s">
        <v>58</v>
      </c>
      <c r="F377" s="4" t="s">
        <v>45</v>
      </c>
      <c r="G377" s="6">
        <v>44638</v>
      </c>
      <c r="H377" s="3">
        <v>102</v>
      </c>
    </row>
    <row r="378" spans="1:8" ht="14.5" x14ac:dyDescent="0.35">
      <c r="A378" s="3">
        <v>377</v>
      </c>
      <c r="B378" s="4" t="s">
        <v>8</v>
      </c>
      <c r="C378" s="3">
        <v>549</v>
      </c>
      <c r="D378" s="3">
        <v>2020</v>
      </c>
      <c r="E378" s="4" t="s">
        <v>46</v>
      </c>
      <c r="F378" s="4" t="s">
        <v>18</v>
      </c>
      <c r="G378" s="6">
        <v>44638</v>
      </c>
      <c r="H378" s="3">
        <v>115</v>
      </c>
    </row>
    <row r="379" spans="1:8" ht="14.5" x14ac:dyDescent="0.35">
      <c r="A379" s="3">
        <v>378</v>
      </c>
      <c r="B379" s="4" t="s">
        <v>16</v>
      </c>
      <c r="C379" s="3">
        <v>611</v>
      </c>
      <c r="D379" s="3">
        <v>2008</v>
      </c>
      <c r="E379" s="4" t="s">
        <v>255</v>
      </c>
      <c r="F379" s="4" t="s">
        <v>18</v>
      </c>
      <c r="G379" s="6">
        <v>44639</v>
      </c>
      <c r="H379" s="3">
        <v>102</v>
      </c>
    </row>
    <row r="380" spans="1:8" ht="14.5" x14ac:dyDescent="0.35">
      <c r="A380" s="3">
        <v>379</v>
      </c>
      <c r="B380" s="4" t="s">
        <v>16</v>
      </c>
      <c r="C380" s="3">
        <v>611</v>
      </c>
      <c r="D380" s="3">
        <v>2009</v>
      </c>
      <c r="E380" s="4" t="s">
        <v>218</v>
      </c>
      <c r="F380" s="4" t="s">
        <v>28</v>
      </c>
      <c r="G380" s="6">
        <v>44639</v>
      </c>
      <c r="H380" s="3">
        <v>114</v>
      </c>
    </row>
    <row r="381" spans="1:8" ht="14.5" x14ac:dyDescent="0.35">
      <c r="A381" s="3">
        <v>380</v>
      </c>
      <c r="B381" s="4" t="s">
        <v>8</v>
      </c>
      <c r="C381" s="3">
        <v>623</v>
      </c>
      <c r="D381" s="3">
        <v>2020</v>
      </c>
      <c r="E381" s="4" t="s">
        <v>20</v>
      </c>
      <c r="F381" s="4" t="s">
        <v>10</v>
      </c>
      <c r="G381" s="6">
        <v>44639</v>
      </c>
      <c r="H381" s="3">
        <v>102</v>
      </c>
    </row>
    <row r="382" spans="1:8" ht="14.5" x14ac:dyDescent="0.35">
      <c r="A382" s="3">
        <v>381</v>
      </c>
      <c r="B382" s="4" t="s">
        <v>8</v>
      </c>
      <c r="C382" s="3">
        <v>549</v>
      </c>
      <c r="D382" s="3">
        <v>1998</v>
      </c>
      <c r="E382" s="4" t="s">
        <v>33</v>
      </c>
      <c r="F382" s="4" t="s">
        <v>45</v>
      </c>
      <c r="G382" s="6">
        <v>44639</v>
      </c>
      <c r="H382" s="3">
        <v>102</v>
      </c>
    </row>
    <row r="383" spans="1:8" ht="14.5" x14ac:dyDescent="0.35">
      <c r="A383" s="3">
        <v>382</v>
      </c>
      <c r="B383" s="4" t="s">
        <v>8</v>
      </c>
      <c r="C383" s="3">
        <v>623</v>
      </c>
      <c r="D383" s="3">
        <v>1974</v>
      </c>
      <c r="E383" s="4" t="s">
        <v>256</v>
      </c>
      <c r="F383" s="4" t="s">
        <v>45</v>
      </c>
      <c r="G383" s="6">
        <v>44639</v>
      </c>
      <c r="H383" s="3">
        <v>114</v>
      </c>
    </row>
    <row r="384" spans="1:8" ht="14.5" x14ac:dyDescent="0.35">
      <c r="A384" s="3">
        <v>383</v>
      </c>
      <c r="B384" s="4" t="s">
        <v>11</v>
      </c>
      <c r="C384" s="3">
        <v>623</v>
      </c>
      <c r="D384" s="3">
        <v>2020</v>
      </c>
      <c r="E384" s="4" t="s">
        <v>20</v>
      </c>
      <c r="F384" s="4" t="s">
        <v>10</v>
      </c>
      <c r="G384" s="6">
        <v>44640</v>
      </c>
      <c r="H384" s="3">
        <v>102</v>
      </c>
    </row>
    <row r="385" spans="1:8" ht="14.5" x14ac:dyDescent="0.35">
      <c r="A385" s="3">
        <v>384</v>
      </c>
      <c r="B385" s="4" t="s">
        <v>8</v>
      </c>
      <c r="C385" s="3">
        <v>623</v>
      </c>
      <c r="D385" s="3">
        <v>2020</v>
      </c>
      <c r="E385" s="4" t="s">
        <v>257</v>
      </c>
      <c r="F385" s="4" t="s">
        <v>10</v>
      </c>
      <c r="G385" s="6">
        <v>44640</v>
      </c>
      <c r="H385" s="3">
        <v>105</v>
      </c>
    </row>
    <row r="386" spans="1:8" ht="14.5" x14ac:dyDescent="0.35">
      <c r="A386" s="3">
        <v>385</v>
      </c>
      <c r="B386" s="4" t="s">
        <v>8</v>
      </c>
      <c r="C386" s="3">
        <v>623</v>
      </c>
      <c r="D386" s="3">
        <v>2020</v>
      </c>
      <c r="E386" s="4" t="s">
        <v>57</v>
      </c>
      <c r="F386" s="4" t="s">
        <v>45</v>
      </c>
      <c r="G386" s="6">
        <v>44640</v>
      </c>
      <c r="H386" s="3">
        <v>114</v>
      </c>
    </row>
    <row r="387" spans="1:8" ht="14.5" x14ac:dyDescent="0.35">
      <c r="A387" s="3">
        <v>386</v>
      </c>
      <c r="B387" s="4" t="s">
        <v>8</v>
      </c>
      <c r="C387" s="3">
        <v>506</v>
      </c>
      <c r="D387" s="3">
        <v>2020</v>
      </c>
      <c r="E387" s="4" t="s">
        <v>258</v>
      </c>
      <c r="F387" s="4" t="s">
        <v>66</v>
      </c>
      <c r="G387" s="6">
        <v>44641</v>
      </c>
      <c r="H387" s="3">
        <v>114</v>
      </c>
    </row>
    <row r="388" spans="1:8" ht="14.5" x14ac:dyDescent="0.35">
      <c r="A388" s="3">
        <v>387</v>
      </c>
      <c r="B388" s="4" t="s">
        <v>25</v>
      </c>
      <c r="C388" s="3">
        <v>550</v>
      </c>
      <c r="D388" s="3">
        <v>2005</v>
      </c>
      <c r="E388" s="4" t="s">
        <v>259</v>
      </c>
      <c r="F388" s="4" t="s">
        <v>18</v>
      </c>
      <c r="G388" s="6">
        <v>44641</v>
      </c>
      <c r="H388" s="3">
        <v>114</v>
      </c>
    </row>
    <row r="389" spans="1:8" ht="14.5" x14ac:dyDescent="0.35">
      <c r="A389" s="3">
        <v>388</v>
      </c>
      <c r="B389" s="4" t="s">
        <v>16</v>
      </c>
      <c r="C389" s="3">
        <v>545</v>
      </c>
      <c r="D389" s="3">
        <v>2006</v>
      </c>
      <c r="E389" s="4" t="s">
        <v>260</v>
      </c>
      <c r="F389" s="4" t="s">
        <v>18</v>
      </c>
      <c r="G389" s="6">
        <v>44641</v>
      </c>
      <c r="H389" s="3">
        <v>102</v>
      </c>
    </row>
    <row r="390" spans="1:8" ht="14.5" x14ac:dyDescent="0.35">
      <c r="A390" s="3">
        <v>389</v>
      </c>
      <c r="B390" s="4" t="s">
        <v>8</v>
      </c>
      <c r="C390" s="3">
        <v>549</v>
      </c>
      <c r="D390" s="3">
        <v>2020</v>
      </c>
      <c r="E390" s="4" t="s">
        <v>46</v>
      </c>
      <c r="F390" s="4" t="s">
        <v>10</v>
      </c>
      <c r="G390" s="6">
        <v>44641</v>
      </c>
      <c r="H390" s="3">
        <v>106</v>
      </c>
    </row>
    <row r="391" spans="1:8" ht="14.5" x14ac:dyDescent="0.35">
      <c r="A391" s="3">
        <v>390</v>
      </c>
      <c r="B391" s="4" t="s">
        <v>8</v>
      </c>
      <c r="C391" s="3">
        <v>623</v>
      </c>
      <c r="D391" s="3">
        <v>1980</v>
      </c>
      <c r="E391" s="4" t="s">
        <v>51</v>
      </c>
      <c r="F391" s="4" t="s">
        <v>45</v>
      </c>
      <c r="G391" s="6">
        <v>44641</v>
      </c>
      <c r="H391" s="3">
        <v>108</v>
      </c>
    </row>
    <row r="392" spans="1:8" ht="14.5" x14ac:dyDescent="0.35">
      <c r="A392" s="3">
        <v>391</v>
      </c>
      <c r="B392" s="4" t="s">
        <v>11</v>
      </c>
      <c r="C392" s="3">
        <v>623</v>
      </c>
      <c r="D392" s="3">
        <v>2000</v>
      </c>
      <c r="E392" s="4" t="s">
        <v>261</v>
      </c>
      <c r="F392" s="4" t="s">
        <v>10</v>
      </c>
      <c r="G392" s="6">
        <v>44642</v>
      </c>
      <c r="H392" s="3">
        <v>115</v>
      </c>
    </row>
    <row r="393" spans="1:8" ht="14.5" x14ac:dyDescent="0.35">
      <c r="A393" s="3">
        <v>392</v>
      </c>
      <c r="B393" s="4" t="s">
        <v>37</v>
      </c>
      <c r="C393" s="3">
        <v>623</v>
      </c>
      <c r="D393" s="3">
        <v>2020</v>
      </c>
      <c r="E393" s="4" t="s">
        <v>262</v>
      </c>
      <c r="F393" s="4" t="s">
        <v>32</v>
      </c>
      <c r="G393" s="6">
        <v>44642</v>
      </c>
      <c r="H393" s="3">
        <v>114</v>
      </c>
    </row>
    <row r="394" spans="1:8" ht="14.5" x14ac:dyDescent="0.35">
      <c r="A394" s="3">
        <v>393</v>
      </c>
      <c r="B394" s="4" t="s">
        <v>8</v>
      </c>
      <c r="C394" s="3">
        <v>623</v>
      </c>
      <c r="D394" s="3">
        <v>2020</v>
      </c>
      <c r="E394" s="4" t="s">
        <v>263</v>
      </c>
      <c r="F394" s="4" t="s">
        <v>10</v>
      </c>
      <c r="G394" s="6">
        <v>44643</v>
      </c>
      <c r="H394" s="3">
        <v>114</v>
      </c>
    </row>
    <row r="395" spans="1:8" ht="14.5" x14ac:dyDescent="0.35">
      <c r="A395" s="3">
        <v>394</v>
      </c>
      <c r="B395" s="4" t="s">
        <v>16</v>
      </c>
      <c r="C395" s="3">
        <v>611</v>
      </c>
      <c r="D395" s="3">
        <v>2007</v>
      </c>
      <c r="E395" s="4" t="s">
        <v>182</v>
      </c>
      <c r="F395" s="4" t="s">
        <v>28</v>
      </c>
      <c r="G395" s="6">
        <v>44643</v>
      </c>
      <c r="H395" s="3">
        <v>102</v>
      </c>
    </row>
    <row r="396" spans="1:8" ht="14.5" x14ac:dyDescent="0.35">
      <c r="A396" s="3">
        <v>395</v>
      </c>
      <c r="B396" s="4" t="s">
        <v>16</v>
      </c>
      <c r="C396" s="3">
        <v>554</v>
      </c>
      <c r="D396" s="3">
        <v>2007</v>
      </c>
      <c r="E396" s="4" t="s">
        <v>238</v>
      </c>
      <c r="F396" s="4" t="s">
        <v>66</v>
      </c>
      <c r="G396" s="6">
        <v>44644</v>
      </c>
      <c r="H396" s="3">
        <v>106</v>
      </c>
    </row>
    <row r="397" spans="1:8" ht="14.5" x14ac:dyDescent="0.35">
      <c r="A397" s="3">
        <v>396</v>
      </c>
      <c r="B397" s="4" t="s">
        <v>25</v>
      </c>
      <c r="C397" s="3">
        <v>611</v>
      </c>
      <c r="D397" s="3">
        <v>2009</v>
      </c>
      <c r="E397" s="4" t="s">
        <v>264</v>
      </c>
      <c r="F397" s="4" t="s">
        <v>123</v>
      </c>
      <c r="G397" s="6">
        <v>44644</v>
      </c>
      <c r="H397" s="3">
        <v>102</v>
      </c>
    </row>
    <row r="398" spans="1:8" ht="14.5" x14ac:dyDescent="0.35">
      <c r="A398" s="3">
        <v>397</v>
      </c>
      <c r="B398" s="4" t="s">
        <v>8</v>
      </c>
      <c r="C398" s="3">
        <v>623</v>
      </c>
      <c r="D398" s="3">
        <v>2016</v>
      </c>
      <c r="E398" s="4" t="s">
        <v>265</v>
      </c>
      <c r="F398" s="4" t="s">
        <v>10</v>
      </c>
      <c r="G398" s="6">
        <v>44644</v>
      </c>
      <c r="H398" s="3">
        <v>104</v>
      </c>
    </row>
    <row r="399" spans="1:8" ht="14.5" x14ac:dyDescent="0.35">
      <c r="A399" s="3">
        <v>398</v>
      </c>
      <c r="B399" s="4" t="s">
        <v>8</v>
      </c>
      <c r="C399" s="3">
        <v>623</v>
      </c>
      <c r="D399" s="3">
        <v>2016</v>
      </c>
      <c r="E399" s="4" t="s">
        <v>209</v>
      </c>
      <c r="F399" s="4" t="s">
        <v>10</v>
      </c>
      <c r="G399" s="6">
        <v>44644</v>
      </c>
      <c r="H399" s="3">
        <v>115</v>
      </c>
    </row>
    <row r="400" spans="1:8" ht="14.5" x14ac:dyDescent="0.35">
      <c r="A400" s="3">
        <v>399</v>
      </c>
      <c r="B400" s="4" t="s">
        <v>8</v>
      </c>
      <c r="C400" s="3">
        <v>623</v>
      </c>
      <c r="D400" s="3">
        <v>2016</v>
      </c>
      <c r="E400" s="4" t="s">
        <v>266</v>
      </c>
      <c r="F400" s="4" t="s">
        <v>10</v>
      </c>
      <c r="G400" s="6">
        <v>44644</v>
      </c>
      <c r="H400" s="3">
        <v>109</v>
      </c>
    </row>
    <row r="401" spans="1:8" ht="14.5" x14ac:dyDescent="0.35">
      <c r="A401" s="3">
        <v>400</v>
      </c>
      <c r="B401" s="4" t="s">
        <v>11</v>
      </c>
      <c r="C401" s="3">
        <v>623</v>
      </c>
      <c r="D401" s="3">
        <v>1975</v>
      </c>
      <c r="E401" s="4" t="s">
        <v>118</v>
      </c>
      <c r="F401" s="4" t="s">
        <v>45</v>
      </c>
      <c r="G401" s="6">
        <v>44644</v>
      </c>
      <c r="H401" s="3">
        <v>111</v>
      </c>
    </row>
    <row r="402" spans="1:8" ht="14.5" x14ac:dyDescent="0.35">
      <c r="A402" s="3">
        <v>401</v>
      </c>
      <c r="B402" s="4" t="s">
        <v>8</v>
      </c>
      <c r="C402" s="3">
        <v>623</v>
      </c>
      <c r="D402" s="3">
        <v>2011</v>
      </c>
      <c r="E402" s="4" t="s">
        <v>57</v>
      </c>
      <c r="F402" s="4" t="s">
        <v>10</v>
      </c>
      <c r="G402" s="6">
        <v>44644</v>
      </c>
      <c r="H402" s="3">
        <v>101</v>
      </c>
    </row>
    <row r="403" spans="1:8" ht="14.5" x14ac:dyDescent="0.35">
      <c r="A403" s="3">
        <v>402</v>
      </c>
      <c r="B403" s="4" t="s">
        <v>8</v>
      </c>
      <c r="C403" s="3">
        <v>538</v>
      </c>
      <c r="D403" s="3">
        <v>2017</v>
      </c>
      <c r="E403" s="4" t="s">
        <v>24</v>
      </c>
      <c r="F403" s="4" t="s">
        <v>10</v>
      </c>
      <c r="G403" s="6">
        <v>44644</v>
      </c>
      <c r="H403" s="3">
        <v>102</v>
      </c>
    </row>
    <row r="404" spans="1:8" ht="14.5" x14ac:dyDescent="0.35">
      <c r="A404" s="3">
        <v>403</v>
      </c>
      <c r="B404" s="4" t="s">
        <v>8</v>
      </c>
      <c r="C404" s="3">
        <v>623</v>
      </c>
      <c r="D404" s="3">
        <v>2017</v>
      </c>
      <c r="E404" s="4" t="s">
        <v>267</v>
      </c>
      <c r="F404" s="4" t="s">
        <v>18</v>
      </c>
      <c r="G404" s="6">
        <v>44645</v>
      </c>
      <c r="H404" s="3">
        <v>115</v>
      </c>
    </row>
    <row r="405" spans="1:8" ht="14.5" x14ac:dyDescent="0.35">
      <c r="A405" s="3">
        <v>404</v>
      </c>
      <c r="B405" s="4" t="s">
        <v>37</v>
      </c>
      <c r="C405" s="3">
        <v>623</v>
      </c>
      <c r="D405" s="3">
        <v>1960</v>
      </c>
      <c r="E405" s="4" t="s">
        <v>36</v>
      </c>
      <c r="F405" s="4" t="s">
        <v>45</v>
      </c>
      <c r="G405" s="6">
        <v>44645</v>
      </c>
      <c r="H405" s="3">
        <v>114</v>
      </c>
    </row>
    <row r="406" spans="1:8" ht="14.5" x14ac:dyDescent="0.35">
      <c r="A406" s="3">
        <v>405</v>
      </c>
      <c r="B406" s="4" t="s">
        <v>8</v>
      </c>
      <c r="C406" s="3">
        <v>623</v>
      </c>
      <c r="D406" s="3">
        <v>2017</v>
      </c>
      <c r="E406" s="4" t="s">
        <v>240</v>
      </c>
      <c r="F406" s="4" t="s">
        <v>10</v>
      </c>
      <c r="G406" s="6">
        <v>44645</v>
      </c>
      <c r="H406" s="3">
        <v>102</v>
      </c>
    </row>
    <row r="407" spans="1:8" ht="14.5" x14ac:dyDescent="0.35">
      <c r="A407" s="3">
        <v>406</v>
      </c>
      <c r="B407" s="4" t="s">
        <v>8</v>
      </c>
      <c r="C407" s="3">
        <v>538</v>
      </c>
      <c r="D407" s="3">
        <v>2017</v>
      </c>
      <c r="E407" s="4" t="s">
        <v>193</v>
      </c>
      <c r="F407" s="4" t="s">
        <v>10</v>
      </c>
      <c r="G407" s="6">
        <v>44646</v>
      </c>
      <c r="H407" s="3">
        <v>109</v>
      </c>
    </row>
    <row r="408" spans="1:8" ht="14.5" x14ac:dyDescent="0.35">
      <c r="A408" s="3">
        <v>407</v>
      </c>
      <c r="B408" s="4" t="s">
        <v>8</v>
      </c>
      <c r="C408" s="3">
        <v>616</v>
      </c>
      <c r="D408" s="3">
        <v>2017</v>
      </c>
      <c r="E408" s="4" t="s">
        <v>268</v>
      </c>
      <c r="F408" s="4" t="s">
        <v>10</v>
      </c>
      <c r="G408" s="6">
        <v>44646</v>
      </c>
      <c r="H408" s="3">
        <v>109</v>
      </c>
    </row>
    <row r="409" spans="1:8" ht="14.5" x14ac:dyDescent="0.35">
      <c r="A409" s="3">
        <v>408</v>
      </c>
      <c r="B409" s="4" t="s">
        <v>8</v>
      </c>
      <c r="C409" s="3">
        <v>623</v>
      </c>
      <c r="D409" s="3">
        <v>2017</v>
      </c>
      <c r="E409" s="4" t="s">
        <v>269</v>
      </c>
      <c r="F409" s="4" t="s">
        <v>10</v>
      </c>
      <c r="G409" s="6">
        <v>44646</v>
      </c>
      <c r="H409" s="3">
        <v>107</v>
      </c>
    </row>
    <row r="410" spans="1:8" ht="14.5" x14ac:dyDescent="0.35">
      <c r="A410" s="3">
        <v>409</v>
      </c>
      <c r="B410" s="4" t="s">
        <v>11</v>
      </c>
      <c r="C410" s="3">
        <v>623</v>
      </c>
      <c r="D410" s="3">
        <v>2017</v>
      </c>
      <c r="E410" s="4" t="s">
        <v>270</v>
      </c>
      <c r="F410" s="4" t="s">
        <v>10</v>
      </c>
      <c r="G410" s="6">
        <v>44647</v>
      </c>
      <c r="H410" s="3">
        <v>106</v>
      </c>
    </row>
    <row r="411" spans="1:8" ht="14.5" x14ac:dyDescent="0.35">
      <c r="A411" s="3">
        <v>410</v>
      </c>
      <c r="B411" s="4" t="s">
        <v>37</v>
      </c>
      <c r="C411" s="3">
        <v>623</v>
      </c>
      <c r="D411" s="3">
        <v>2017</v>
      </c>
      <c r="E411" s="4" t="s">
        <v>271</v>
      </c>
      <c r="F411" s="4" t="s">
        <v>10</v>
      </c>
      <c r="G411" s="6">
        <v>44648</v>
      </c>
      <c r="H411" s="3">
        <v>102</v>
      </c>
    </row>
    <row r="412" spans="1:8" ht="14.5" x14ac:dyDescent="0.35">
      <c r="A412" s="3">
        <v>411</v>
      </c>
      <c r="B412" s="4" t="s">
        <v>8</v>
      </c>
      <c r="C412" s="3">
        <v>623</v>
      </c>
      <c r="D412" s="3">
        <v>2017</v>
      </c>
      <c r="E412" s="4" t="s">
        <v>272</v>
      </c>
      <c r="F412" s="4" t="s">
        <v>10</v>
      </c>
      <c r="G412" s="6">
        <v>44648</v>
      </c>
      <c r="H412" s="3">
        <v>111</v>
      </c>
    </row>
    <row r="413" spans="1:8" ht="14.5" x14ac:dyDescent="0.35">
      <c r="A413" s="3">
        <v>412</v>
      </c>
      <c r="B413" s="4" t="s">
        <v>8</v>
      </c>
      <c r="C413" s="3">
        <v>623</v>
      </c>
      <c r="D413" s="3">
        <v>2017</v>
      </c>
      <c r="E413" s="4" t="s">
        <v>112</v>
      </c>
      <c r="F413" s="4" t="s">
        <v>10</v>
      </c>
      <c r="G413" s="6">
        <v>44648</v>
      </c>
      <c r="H413" s="3">
        <v>102</v>
      </c>
    </row>
    <row r="414" spans="1:8" ht="14.5" x14ac:dyDescent="0.35">
      <c r="A414" s="3">
        <v>413</v>
      </c>
      <c r="B414" s="4" t="s">
        <v>8</v>
      </c>
      <c r="C414" s="3">
        <v>549</v>
      </c>
      <c r="D414" s="3">
        <v>2017</v>
      </c>
      <c r="E414" s="4" t="s">
        <v>46</v>
      </c>
      <c r="F414" s="4" t="s">
        <v>18</v>
      </c>
      <c r="G414" s="6">
        <v>44648</v>
      </c>
      <c r="H414" s="3">
        <v>104</v>
      </c>
    </row>
    <row r="415" spans="1:8" ht="14.5" x14ac:dyDescent="0.35">
      <c r="A415" s="3">
        <v>414</v>
      </c>
      <c r="B415" s="4" t="s">
        <v>61</v>
      </c>
      <c r="C415" s="3">
        <v>519</v>
      </c>
      <c r="D415" s="3">
        <v>2002</v>
      </c>
      <c r="E415" s="4" t="s">
        <v>273</v>
      </c>
      <c r="F415" s="4" t="s">
        <v>32</v>
      </c>
      <c r="G415" s="6">
        <v>44648</v>
      </c>
      <c r="H415" s="3">
        <v>101</v>
      </c>
    </row>
    <row r="416" spans="1:8" ht="14.5" x14ac:dyDescent="0.35">
      <c r="A416" s="3">
        <v>415</v>
      </c>
      <c r="B416" s="4" t="s">
        <v>37</v>
      </c>
      <c r="C416" s="3">
        <v>623</v>
      </c>
      <c r="D416" s="3">
        <v>2017</v>
      </c>
      <c r="E416" s="4" t="s">
        <v>195</v>
      </c>
      <c r="F416" s="4" t="s">
        <v>10</v>
      </c>
      <c r="G416" s="6">
        <v>44649</v>
      </c>
      <c r="H416" s="3">
        <v>102</v>
      </c>
    </row>
    <row r="417" spans="1:8" ht="14.5" x14ac:dyDescent="0.35">
      <c r="A417" s="3">
        <v>416</v>
      </c>
      <c r="B417" s="4" t="s">
        <v>8</v>
      </c>
      <c r="C417" s="3">
        <v>623</v>
      </c>
      <c r="D417" s="3">
        <v>2017</v>
      </c>
      <c r="E417" s="4" t="s">
        <v>81</v>
      </c>
      <c r="F417" s="4" t="s">
        <v>10</v>
      </c>
      <c r="G417" s="6">
        <v>44649</v>
      </c>
      <c r="H417" s="3">
        <v>114</v>
      </c>
    </row>
    <row r="418" spans="1:8" ht="14.5" x14ac:dyDescent="0.35">
      <c r="A418" s="3">
        <v>417</v>
      </c>
      <c r="B418" s="4" t="s">
        <v>11</v>
      </c>
      <c r="C418" s="3">
        <v>623</v>
      </c>
      <c r="D418" s="3">
        <v>2002</v>
      </c>
      <c r="E418" s="4" t="s">
        <v>274</v>
      </c>
      <c r="F418" s="4" t="s">
        <v>10</v>
      </c>
      <c r="G418" s="6">
        <v>44650</v>
      </c>
      <c r="H418" s="3">
        <v>104</v>
      </c>
    </row>
    <row r="419" spans="1:8" ht="14.5" x14ac:dyDescent="0.35">
      <c r="A419" s="3">
        <v>418</v>
      </c>
      <c r="B419" s="4" t="s">
        <v>8</v>
      </c>
      <c r="C419" s="3">
        <v>623</v>
      </c>
      <c r="D419" s="3">
        <v>2020</v>
      </c>
      <c r="E419" s="4" t="s">
        <v>100</v>
      </c>
      <c r="F419" s="4" t="s">
        <v>10</v>
      </c>
      <c r="G419" s="6">
        <v>44650</v>
      </c>
      <c r="H419" s="3">
        <v>108</v>
      </c>
    </row>
    <row r="420" spans="1:8" ht="14.5" x14ac:dyDescent="0.35">
      <c r="A420" s="3">
        <v>419</v>
      </c>
      <c r="B420" s="4" t="s">
        <v>8</v>
      </c>
      <c r="C420" s="3">
        <v>514</v>
      </c>
      <c r="D420" s="3">
        <v>2020</v>
      </c>
      <c r="E420" s="4" t="s">
        <v>209</v>
      </c>
      <c r="F420" s="4" t="s">
        <v>10</v>
      </c>
      <c r="G420" s="6">
        <v>44650</v>
      </c>
      <c r="H420" s="3">
        <v>114</v>
      </c>
    </row>
    <row r="421" spans="1:8" ht="14.5" x14ac:dyDescent="0.35">
      <c r="A421" s="3">
        <v>420</v>
      </c>
      <c r="B421" s="4" t="s">
        <v>37</v>
      </c>
      <c r="C421" s="3">
        <v>549</v>
      </c>
      <c r="D421" s="3">
        <v>1987</v>
      </c>
      <c r="E421" s="4" t="s">
        <v>51</v>
      </c>
      <c r="F421" s="4" t="s">
        <v>47</v>
      </c>
      <c r="G421" s="6">
        <v>44650</v>
      </c>
      <c r="H421" s="3">
        <v>114</v>
      </c>
    </row>
    <row r="422" spans="1:8" ht="14.5" x14ac:dyDescent="0.35">
      <c r="A422" s="3">
        <v>421</v>
      </c>
      <c r="B422" s="4" t="s">
        <v>11</v>
      </c>
      <c r="C422" s="3">
        <v>623</v>
      </c>
      <c r="D422" s="3">
        <v>2020</v>
      </c>
      <c r="E422" s="4" t="s">
        <v>275</v>
      </c>
      <c r="F422" s="4" t="s">
        <v>10</v>
      </c>
      <c r="G422" s="6">
        <v>44650</v>
      </c>
      <c r="H422" s="3">
        <v>114</v>
      </c>
    </row>
    <row r="423" spans="1:8" ht="14.5" x14ac:dyDescent="0.35">
      <c r="A423" s="3">
        <v>422</v>
      </c>
      <c r="B423" s="4" t="s">
        <v>8</v>
      </c>
      <c r="C423" s="3">
        <v>623</v>
      </c>
      <c r="D423" s="3">
        <v>2020</v>
      </c>
      <c r="E423" s="4" t="s">
        <v>100</v>
      </c>
      <c r="F423" s="4" t="s">
        <v>10</v>
      </c>
      <c r="G423" s="6">
        <v>44651</v>
      </c>
      <c r="H423" s="3">
        <v>109</v>
      </c>
    </row>
    <row r="424" spans="1:8" ht="14.5" x14ac:dyDescent="0.35">
      <c r="A424" s="3">
        <v>423</v>
      </c>
      <c r="B424" s="4" t="s">
        <v>8</v>
      </c>
      <c r="C424" s="3">
        <v>623</v>
      </c>
      <c r="D424" s="3">
        <v>2020</v>
      </c>
      <c r="E424" s="4" t="s">
        <v>100</v>
      </c>
      <c r="F424" s="4" t="s">
        <v>10</v>
      </c>
      <c r="G424" s="6">
        <v>44651</v>
      </c>
      <c r="H424" s="3">
        <v>104</v>
      </c>
    </row>
    <row r="425" spans="1:8" ht="14.5" x14ac:dyDescent="0.35">
      <c r="A425" s="3">
        <v>424</v>
      </c>
      <c r="B425" s="4" t="s">
        <v>8</v>
      </c>
      <c r="C425" s="3">
        <v>623</v>
      </c>
      <c r="D425" s="3">
        <v>2020</v>
      </c>
      <c r="E425" s="4" t="s">
        <v>53</v>
      </c>
      <c r="F425" s="4" t="s">
        <v>10</v>
      </c>
      <c r="G425" s="6">
        <v>44651</v>
      </c>
      <c r="H425" s="3">
        <v>103</v>
      </c>
    </row>
    <row r="426" spans="1:8" ht="14.5" x14ac:dyDescent="0.35">
      <c r="A426" s="3">
        <v>425</v>
      </c>
      <c r="B426" s="4" t="s">
        <v>8</v>
      </c>
      <c r="C426" s="3">
        <v>562</v>
      </c>
      <c r="D426" s="3">
        <v>2020</v>
      </c>
      <c r="E426" s="4" t="s">
        <v>276</v>
      </c>
      <c r="F426" s="4" t="s">
        <v>10</v>
      </c>
      <c r="G426" s="6">
        <v>44651</v>
      </c>
      <c r="H426" s="3">
        <v>103</v>
      </c>
    </row>
    <row r="427" spans="1:8" ht="14.5" x14ac:dyDescent="0.35">
      <c r="A427" s="3">
        <v>426</v>
      </c>
      <c r="B427" s="4" t="s">
        <v>61</v>
      </c>
      <c r="C427" s="3">
        <v>519</v>
      </c>
      <c r="D427" s="3">
        <v>2009</v>
      </c>
      <c r="E427" s="4" t="s">
        <v>277</v>
      </c>
      <c r="F427" s="4" t="s">
        <v>32</v>
      </c>
      <c r="G427" s="6">
        <v>44651</v>
      </c>
      <c r="H427" s="3">
        <v>114</v>
      </c>
    </row>
    <row r="428" spans="1:8" ht="14.5" x14ac:dyDescent="0.35">
      <c r="A428" s="3">
        <v>427</v>
      </c>
      <c r="B428" s="4" t="s">
        <v>83</v>
      </c>
      <c r="C428" s="3">
        <v>512</v>
      </c>
      <c r="D428" s="3">
        <v>2014</v>
      </c>
      <c r="E428" s="4" t="s">
        <v>278</v>
      </c>
      <c r="F428" s="4" t="s">
        <v>32</v>
      </c>
      <c r="G428" s="5">
        <v>44652</v>
      </c>
      <c r="H428" s="3">
        <v>102</v>
      </c>
    </row>
    <row r="429" spans="1:8" ht="14.5" x14ac:dyDescent="0.35">
      <c r="A429" s="3">
        <v>428</v>
      </c>
      <c r="B429" s="4" t="s">
        <v>11</v>
      </c>
      <c r="C429" s="3">
        <v>623</v>
      </c>
      <c r="D429" s="3">
        <v>1980</v>
      </c>
      <c r="E429" s="4" t="s">
        <v>79</v>
      </c>
      <c r="F429" s="4" t="s">
        <v>45</v>
      </c>
      <c r="G429" s="5">
        <v>44652</v>
      </c>
      <c r="H429" s="3">
        <v>104</v>
      </c>
    </row>
    <row r="430" spans="1:8" ht="14.5" x14ac:dyDescent="0.35">
      <c r="A430" s="3">
        <v>429</v>
      </c>
      <c r="B430" s="4" t="s">
        <v>61</v>
      </c>
      <c r="C430" s="3">
        <v>519</v>
      </c>
      <c r="D430" s="3">
        <v>2010</v>
      </c>
      <c r="E430" s="4" t="s">
        <v>279</v>
      </c>
      <c r="F430" s="4" t="s">
        <v>32</v>
      </c>
      <c r="G430" s="5">
        <v>44652</v>
      </c>
      <c r="H430" s="3">
        <v>114</v>
      </c>
    </row>
    <row r="431" spans="1:8" ht="14.5" x14ac:dyDescent="0.35">
      <c r="A431" s="3">
        <v>430</v>
      </c>
      <c r="B431" s="4" t="s">
        <v>8</v>
      </c>
      <c r="C431" s="3">
        <v>623</v>
      </c>
      <c r="D431" s="3">
        <v>1979</v>
      </c>
      <c r="E431" s="4" t="s">
        <v>68</v>
      </c>
      <c r="F431" s="4" t="s">
        <v>66</v>
      </c>
      <c r="G431" s="5">
        <v>44652</v>
      </c>
      <c r="H431" s="3">
        <v>109</v>
      </c>
    </row>
    <row r="432" spans="1:8" ht="14.5" x14ac:dyDescent="0.35">
      <c r="A432" s="3">
        <v>431</v>
      </c>
      <c r="B432" s="4" t="s">
        <v>61</v>
      </c>
      <c r="C432" s="3">
        <v>609</v>
      </c>
      <c r="D432" s="3">
        <v>2005</v>
      </c>
      <c r="E432" s="4" t="s">
        <v>280</v>
      </c>
      <c r="F432" s="4" t="s">
        <v>32</v>
      </c>
      <c r="G432" s="5">
        <v>44652</v>
      </c>
      <c r="H432" s="3">
        <v>102</v>
      </c>
    </row>
    <row r="433" spans="1:8" ht="14.5" x14ac:dyDescent="0.35">
      <c r="A433" s="3">
        <v>432</v>
      </c>
      <c r="B433" s="4" t="s">
        <v>16</v>
      </c>
      <c r="C433" s="3">
        <v>636</v>
      </c>
      <c r="D433" s="3">
        <v>2004</v>
      </c>
      <c r="E433" s="4" t="s">
        <v>281</v>
      </c>
      <c r="F433" s="4" t="s">
        <v>10</v>
      </c>
      <c r="G433" s="5">
        <v>44653</v>
      </c>
      <c r="H433" s="3">
        <v>114</v>
      </c>
    </row>
    <row r="434" spans="1:8" ht="14.5" x14ac:dyDescent="0.35">
      <c r="A434" s="3">
        <v>433</v>
      </c>
      <c r="B434" s="4" t="s">
        <v>8</v>
      </c>
      <c r="C434" s="3">
        <v>623</v>
      </c>
      <c r="D434" s="3">
        <v>1981</v>
      </c>
      <c r="E434" s="4" t="s">
        <v>33</v>
      </c>
      <c r="F434" s="4" t="s">
        <v>66</v>
      </c>
      <c r="G434" s="5">
        <v>44653</v>
      </c>
      <c r="H434" s="3">
        <v>102</v>
      </c>
    </row>
    <row r="435" spans="1:8" ht="14.5" x14ac:dyDescent="0.35">
      <c r="A435" s="3">
        <v>434</v>
      </c>
      <c r="B435" s="4" t="s">
        <v>16</v>
      </c>
      <c r="C435" s="3">
        <v>631</v>
      </c>
      <c r="D435" s="3">
        <v>2007</v>
      </c>
      <c r="E435" s="4" t="s">
        <v>282</v>
      </c>
      <c r="F435" s="4" t="s">
        <v>18</v>
      </c>
      <c r="G435" s="5">
        <v>44653</v>
      </c>
      <c r="H435" s="3">
        <v>111</v>
      </c>
    </row>
    <row r="436" spans="1:8" ht="14.5" x14ac:dyDescent="0.35">
      <c r="A436" s="3">
        <v>435</v>
      </c>
      <c r="B436" s="4" t="s">
        <v>25</v>
      </c>
      <c r="C436" s="3">
        <v>585</v>
      </c>
      <c r="D436" s="3">
        <v>2008</v>
      </c>
      <c r="E436" s="4" t="s">
        <v>139</v>
      </c>
      <c r="F436" s="4" t="s">
        <v>283</v>
      </c>
      <c r="G436" s="5">
        <v>44654</v>
      </c>
      <c r="H436" s="3">
        <v>109</v>
      </c>
    </row>
    <row r="437" spans="1:8" ht="14.5" x14ac:dyDescent="0.35">
      <c r="A437" s="3">
        <v>436</v>
      </c>
      <c r="B437" s="4" t="s">
        <v>8</v>
      </c>
      <c r="C437" s="3">
        <v>514</v>
      </c>
      <c r="D437" s="3">
        <v>1999</v>
      </c>
      <c r="E437" s="4" t="s">
        <v>177</v>
      </c>
      <c r="F437" s="4" t="s">
        <v>10</v>
      </c>
      <c r="G437" s="5">
        <v>44654</v>
      </c>
      <c r="H437" s="3">
        <v>114</v>
      </c>
    </row>
    <row r="438" spans="1:8" ht="14.5" x14ac:dyDescent="0.35">
      <c r="A438" s="3">
        <v>437</v>
      </c>
      <c r="B438" s="4" t="s">
        <v>8</v>
      </c>
      <c r="C438" s="3">
        <v>623</v>
      </c>
      <c r="D438" s="3">
        <v>1967</v>
      </c>
      <c r="E438" s="4" t="s">
        <v>36</v>
      </c>
      <c r="F438" s="4" t="s">
        <v>69</v>
      </c>
      <c r="G438" s="5">
        <v>44654</v>
      </c>
      <c r="H438" s="3">
        <v>103</v>
      </c>
    </row>
    <row r="439" spans="1:8" ht="14.5" x14ac:dyDescent="0.35">
      <c r="A439" s="3">
        <v>438</v>
      </c>
      <c r="B439" s="4" t="s">
        <v>8</v>
      </c>
      <c r="C439" s="3">
        <v>624</v>
      </c>
      <c r="D439" s="3">
        <v>2020</v>
      </c>
      <c r="E439" s="4" t="s">
        <v>92</v>
      </c>
      <c r="F439" s="4" t="s">
        <v>10</v>
      </c>
      <c r="G439" s="5">
        <v>44654</v>
      </c>
      <c r="H439" s="3">
        <v>111</v>
      </c>
    </row>
    <row r="440" spans="1:8" ht="14.5" x14ac:dyDescent="0.35">
      <c r="A440" s="3">
        <v>439</v>
      </c>
      <c r="B440" s="4" t="s">
        <v>8</v>
      </c>
      <c r="C440" s="3">
        <v>623</v>
      </c>
      <c r="D440" s="3">
        <v>2020</v>
      </c>
      <c r="E440" s="4" t="s">
        <v>33</v>
      </c>
      <c r="F440" s="4" t="s">
        <v>10</v>
      </c>
      <c r="G440" s="5">
        <v>44655</v>
      </c>
      <c r="H440" s="3">
        <v>104</v>
      </c>
    </row>
    <row r="441" spans="1:8" ht="14.5" x14ac:dyDescent="0.35">
      <c r="A441" s="3">
        <v>440</v>
      </c>
      <c r="B441" s="4" t="s">
        <v>8</v>
      </c>
      <c r="C441" s="3">
        <v>623</v>
      </c>
      <c r="D441" s="3">
        <v>2020</v>
      </c>
      <c r="E441" s="4" t="s">
        <v>284</v>
      </c>
      <c r="F441" s="4" t="s">
        <v>10</v>
      </c>
      <c r="G441" s="5">
        <v>44655</v>
      </c>
      <c r="H441" s="3">
        <v>109</v>
      </c>
    </row>
    <row r="442" spans="1:8" ht="14.5" x14ac:dyDescent="0.35">
      <c r="A442" s="3">
        <v>441</v>
      </c>
      <c r="B442" s="4" t="s">
        <v>16</v>
      </c>
      <c r="C442" s="3">
        <v>550</v>
      </c>
      <c r="D442" s="3">
        <v>2003</v>
      </c>
      <c r="E442" s="4" t="s">
        <v>285</v>
      </c>
      <c r="F442" s="4" t="s">
        <v>10</v>
      </c>
      <c r="G442" s="5">
        <v>44655</v>
      </c>
      <c r="H442" s="3">
        <v>102</v>
      </c>
    </row>
    <row r="443" spans="1:8" ht="14.5" x14ac:dyDescent="0.35">
      <c r="A443" s="3">
        <v>442</v>
      </c>
      <c r="B443" s="4" t="s">
        <v>8</v>
      </c>
      <c r="C443" s="3">
        <v>562</v>
      </c>
      <c r="D443" s="3">
        <v>2000</v>
      </c>
      <c r="E443" s="4" t="s">
        <v>286</v>
      </c>
      <c r="F443" s="4" t="s">
        <v>10</v>
      </c>
      <c r="G443" s="5">
        <v>44682</v>
      </c>
      <c r="H443" s="3">
        <v>103</v>
      </c>
    </row>
    <row r="444" spans="1:8" ht="14.5" x14ac:dyDescent="0.35">
      <c r="A444" s="3">
        <v>443</v>
      </c>
      <c r="B444" s="4" t="s">
        <v>8</v>
      </c>
      <c r="C444" s="3">
        <v>623</v>
      </c>
      <c r="D444" s="3">
        <v>1972</v>
      </c>
      <c r="E444" s="4" t="s">
        <v>36</v>
      </c>
      <c r="F444" s="4" t="s">
        <v>28</v>
      </c>
      <c r="G444" s="5">
        <v>44682</v>
      </c>
      <c r="H444" s="3">
        <v>108</v>
      </c>
    </row>
    <row r="445" spans="1:8" ht="14.5" x14ac:dyDescent="0.35">
      <c r="A445" s="3">
        <v>444</v>
      </c>
      <c r="B445" s="4" t="s">
        <v>8</v>
      </c>
      <c r="C445" s="3">
        <v>549</v>
      </c>
      <c r="D445" s="3">
        <v>1992</v>
      </c>
      <c r="E445" s="4" t="s">
        <v>287</v>
      </c>
      <c r="F445" s="4" t="s">
        <v>32</v>
      </c>
      <c r="G445" s="5">
        <v>44682</v>
      </c>
      <c r="H445" s="3">
        <v>114</v>
      </c>
    </row>
    <row r="446" spans="1:8" ht="14.5" x14ac:dyDescent="0.35">
      <c r="A446" s="3">
        <v>445</v>
      </c>
      <c r="B446" s="4" t="s">
        <v>8</v>
      </c>
      <c r="C446" s="3">
        <v>623</v>
      </c>
      <c r="D446" s="3">
        <v>2020</v>
      </c>
      <c r="E446" s="4" t="s">
        <v>23</v>
      </c>
      <c r="F446" s="4" t="s">
        <v>10</v>
      </c>
      <c r="G446" s="5">
        <v>44683</v>
      </c>
      <c r="H446" s="3">
        <v>101</v>
      </c>
    </row>
    <row r="447" spans="1:8" ht="14.5" x14ac:dyDescent="0.35">
      <c r="A447" s="3">
        <v>446</v>
      </c>
      <c r="B447" s="4" t="s">
        <v>8</v>
      </c>
      <c r="C447" s="3">
        <v>623</v>
      </c>
      <c r="D447" s="3">
        <v>2020</v>
      </c>
      <c r="E447" s="4" t="s">
        <v>80</v>
      </c>
      <c r="F447" s="4" t="s">
        <v>10</v>
      </c>
      <c r="G447" s="5">
        <v>44684</v>
      </c>
      <c r="H447" s="3">
        <v>114</v>
      </c>
    </row>
    <row r="448" spans="1:8" ht="14.5" x14ac:dyDescent="0.35">
      <c r="A448" s="3">
        <v>447</v>
      </c>
      <c r="B448" s="4" t="s">
        <v>16</v>
      </c>
      <c r="C448" s="3">
        <v>594</v>
      </c>
      <c r="D448" s="3">
        <v>1997</v>
      </c>
      <c r="E448" s="4" t="s">
        <v>288</v>
      </c>
      <c r="F448" s="4" t="s">
        <v>45</v>
      </c>
      <c r="G448" s="5">
        <v>44684</v>
      </c>
      <c r="H448" s="3">
        <v>102</v>
      </c>
    </row>
    <row r="449" spans="1:8" ht="14.5" x14ac:dyDescent="0.35">
      <c r="A449" s="3">
        <v>448</v>
      </c>
      <c r="B449" s="4" t="s">
        <v>11</v>
      </c>
      <c r="C449" s="3">
        <v>623</v>
      </c>
      <c r="D449" s="3">
        <v>2020</v>
      </c>
      <c r="E449" s="4" t="s">
        <v>289</v>
      </c>
      <c r="F449" s="4" t="s">
        <v>10</v>
      </c>
      <c r="G449" s="5">
        <v>44685</v>
      </c>
      <c r="H449" s="3">
        <v>102</v>
      </c>
    </row>
    <row r="450" spans="1:8" ht="14.5" x14ac:dyDescent="0.35">
      <c r="A450" s="3">
        <v>449</v>
      </c>
      <c r="B450" s="4" t="s">
        <v>8</v>
      </c>
      <c r="C450" s="3">
        <v>572</v>
      </c>
      <c r="D450" s="3">
        <v>2020</v>
      </c>
      <c r="E450" s="4" t="s">
        <v>46</v>
      </c>
      <c r="F450" s="4" t="s">
        <v>10</v>
      </c>
      <c r="G450" s="5">
        <v>44685</v>
      </c>
      <c r="H450" s="3">
        <v>114</v>
      </c>
    </row>
    <row r="451" spans="1:8" ht="14.5" x14ac:dyDescent="0.35">
      <c r="A451" s="3">
        <v>450</v>
      </c>
      <c r="B451" s="4" t="s">
        <v>8</v>
      </c>
      <c r="C451" s="3">
        <v>623</v>
      </c>
      <c r="D451" s="3">
        <v>1982</v>
      </c>
      <c r="E451" s="4" t="s">
        <v>290</v>
      </c>
      <c r="F451" s="4" t="s">
        <v>123</v>
      </c>
      <c r="G451" s="5">
        <v>44685</v>
      </c>
      <c r="H451" s="3">
        <v>101</v>
      </c>
    </row>
    <row r="452" spans="1:8" ht="14.5" x14ac:dyDescent="0.35">
      <c r="A452" s="3">
        <v>451</v>
      </c>
      <c r="B452" s="4" t="s">
        <v>8</v>
      </c>
      <c r="C452" s="3">
        <v>514</v>
      </c>
      <c r="D452" s="3">
        <v>2020</v>
      </c>
      <c r="E452" s="4" t="s">
        <v>232</v>
      </c>
      <c r="F452" s="4" t="s">
        <v>10</v>
      </c>
      <c r="G452" s="5">
        <v>44685</v>
      </c>
      <c r="H452" s="3">
        <v>115</v>
      </c>
    </row>
    <row r="453" spans="1:8" ht="14.5" x14ac:dyDescent="0.35">
      <c r="A453" s="3">
        <v>452</v>
      </c>
      <c r="B453" s="4" t="s">
        <v>8</v>
      </c>
      <c r="C453" s="3">
        <v>514</v>
      </c>
      <c r="D453" s="3">
        <v>2015</v>
      </c>
      <c r="E453" s="4" t="s">
        <v>22</v>
      </c>
      <c r="F453" s="4" t="s">
        <v>10</v>
      </c>
      <c r="G453" s="5">
        <v>44685</v>
      </c>
      <c r="H453" s="3">
        <v>114</v>
      </c>
    </row>
    <row r="454" spans="1:8" ht="14.5" x14ac:dyDescent="0.35">
      <c r="A454" s="3">
        <v>453</v>
      </c>
      <c r="B454" s="4" t="s">
        <v>16</v>
      </c>
      <c r="C454" s="3">
        <v>611</v>
      </c>
      <c r="D454" s="3">
        <v>2004</v>
      </c>
      <c r="E454" s="4" t="s">
        <v>291</v>
      </c>
      <c r="F454" s="4" t="s">
        <v>69</v>
      </c>
      <c r="G454" s="5">
        <v>44713</v>
      </c>
      <c r="H454" s="3">
        <v>114</v>
      </c>
    </row>
    <row r="455" spans="1:8" ht="14.5" x14ac:dyDescent="0.35">
      <c r="A455" s="3">
        <v>454</v>
      </c>
      <c r="B455" s="4" t="s">
        <v>25</v>
      </c>
      <c r="C455" s="3">
        <v>636</v>
      </c>
      <c r="D455" s="3">
        <v>1999</v>
      </c>
      <c r="E455" s="4" t="s">
        <v>292</v>
      </c>
      <c r="F455" s="4" t="s">
        <v>18</v>
      </c>
      <c r="G455" s="5">
        <v>44713</v>
      </c>
      <c r="H455" s="3">
        <v>107</v>
      </c>
    </row>
    <row r="456" spans="1:8" ht="14.5" x14ac:dyDescent="0.35">
      <c r="A456" s="3">
        <v>455</v>
      </c>
      <c r="B456" s="4" t="s">
        <v>37</v>
      </c>
      <c r="C456" s="3">
        <v>623</v>
      </c>
      <c r="D456" s="3">
        <v>1998</v>
      </c>
      <c r="E456" s="4" t="s">
        <v>293</v>
      </c>
      <c r="F456" s="4" t="s">
        <v>45</v>
      </c>
      <c r="G456" s="5">
        <v>44713</v>
      </c>
      <c r="H456" s="3">
        <v>102</v>
      </c>
    </row>
    <row r="457" spans="1:8" ht="14.5" x14ac:dyDescent="0.35">
      <c r="A457" s="3">
        <v>456</v>
      </c>
      <c r="B457" s="4" t="s">
        <v>61</v>
      </c>
      <c r="C457" s="3">
        <v>519</v>
      </c>
      <c r="D457" s="3">
        <v>1977</v>
      </c>
      <c r="E457" s="4" t="s">
        <v>294</v>
      </c>
      <c r="F457" s="4" t="s">
        <v>32</v>
      </c>
      <c r="G457" s="5">
        <v>44713</v>
      </c>
      <c r="H457" s="3">
        <v>102</v>
      </c>
    </row>
    <row r="458" spans="1:8" ht="14.5" x14ac:dyDescent="0.35">
      <c r="A458" s="3">
        <v>457</v>
      </c>
      <c r="B458" s="4" t="s">
        <v>8</v>
      </c>
      <c r="C458" s="3">
        <v>623</v>
      </c>
      <c r="D458" s="3">
        <v>2020</v>
      </c>
      <c r="E458" s="4" t="s">
        <v>53</v>
      </c>
      <c r="F458" s="4" t="s">
        <v>10</v>
      </c>
      <c r="G458" s="5">
        <v>44713</v>
      </c>
      <c r="H458" s="3">
        <v>104</v>
      </c>
    </row>
    <row r="459" spans="1:8" ht="14.5" x14ac:dyDescent="0.35">
      <c r="A459" s="3">
        <v>458</v>
      </c>
      <c r="B459" s="4" t="s">
        <v>11</v>
      </c>
      <c r="C459" s="3">
        <v>623</v>
      </c>
      <c r="D459" s="3">
        <v>2020</v>
      </c>
      <c r="E459" s="4" t="s">
        <v>295</v>
      </c>
      <c r="F459" s="4" t="s">
        <v>10</v>
      </c>
      <c r="G459" s="5">
        <v>44714</v>
      </c>
      <c r="H459" s="3">
        <v>104</v>
      </c>
    </row>
    <row r="460" spans="1:8" ht="14.5" x14ac:dyDescent="0.35">
      <c r="A460" s="3">
        <v>459</v>
      </c>
      <c r="B460" s="4" t="s">
        <v>16</v>
      </c>
      <c r="C460" s="3">
        <v>636</v>
      </c>
      <c r="D460" s="3">
        <v>2001</v>
      </c>
      <c r="E460" s="4" t="s">
        <v>296</v>
      </c>
      <c r="F460" s="4" t="s">
        <v>69</v>
      </c>
      <c r="G460" s="5">
        <v>44714</v>
      </c>
      <c r="H460" s="3">
        <v>102</v>
      </c>
    </row>
    <row r="461" spans="1:8" ht="14.5" x14ac:dyDescent="0.35">
      <c r="A461" s="3">
        <v>460</v>
      </c>
      <c r="B461" s="4" t="s">
        <v>8</v>
      </c>
      <c r="C461" s="3">
        <v>623</v>
      </c>
      <c r="D461" s="3">
        <v>1999</v>
      </c>
      <c r="E461" s="4" t="s">
        <v>297</v>
      </c>
      <c r="F461" s="4" t="s">
        <v>10</v>
      </c>
      <c r="G461" s="5">
        <v>44715</v>
      </c>
      <c r="H461" s="3">
        <v>104</v>
      </c>
    </row>
    <row r="462" spans="1:8" ht="14.5" x14ac:dyDescent="0.35">
      <c r="A462" s="3">
        <v>461</v>
      </c>
      <c r="B462" s="4" t="s">
        <v>11</v>
      </c>
      <c r="C462" s="3">
        <v>623</v>
      </c>
      <c r="D462" s="3">
        <v>2020</v>
      </c>
      <c r="E462" s="4" t="s">
        <v>129</v>
      </c>
      <c r="F462" s="4" t="s">
        <v>10</v>
      </c>
      <c r="G462" s="5">
        <v>44715</v>
      </c>
      <c r="H462" s="3">
        <v>109</v>
      </c>
    </row>
    <row r="463" spans="1:8" ht="14.5" x14ac:dyDescent="0.35">
      <c r="A463" s="3">
        <v>462</v>
      </c>
      <c r="B463" s="4" t="s">
        <v>8</v>
      </c>
      <c r="C463" s="3">
        <v>623</v>
      </c>
      <c r="D463" s="3">
        <v>2020</v>
      </c>
      <c r="E463" s="4" t="s">
        <v>115</v>
      </c>
      <c r="F463" s="4" t="s">
        <v>10</v>
      </c>
      <c r="G463" s="5">
        <v>44743</v>
      </c>
      <c r="H463" s="3">
        <v>109</v>
      </c>
    </row>
    <row r="464" spans="1:8" ht="14.5" x14ac:dyDescent="0.35">
      <c r="A464" s="3">
        <v>463</v>
      </c>
      <c r="B464" s="4" t="s">
        <v>8</v>
      </c>
      <c r="C464" s="3">
        <v>623</v>
      </c>
      <c r="D464" s="3">
        <v>2021</v>
      </c>
      <c r="E464" s="4" t="s">
        <v>51</v>
      </c>
      <c r="F464" s="4" t="s">
        <v>10</v>
      </c>
      <c r="G464" s="5">
        <v>44743</v>
      </c>
      <c r="H464" s="3">
        <v>115</v>
      </c>
    </row>
    <row r="465" spans="1:8" ht="14.5" x14ac:dyDescent="0.35">
      <c r="A465" s="3">
        <v>464</v>
      </c>
      <c r="B465" s="4" t="s">
        <v>8</v>
      </c>
      <c r="C465" s="3">
        <v>549</v>
      </c>
      <c r="D465" s="3">
        <v>2021</v>
      </c>
      <c r="E465" s="4" t="s">
        <v>46</v>
      </c>
      <c r="F465" s="4" t="s">
        <v>18</v>
      </c>
      <c r="G465" s="5">
        <v>44745</v>
      </c>
      <c r="H465" s="3">
        <v>101</v>
      </c>
    </row>
    <row r="466" spans="1:8" ht="14.5" x14ac:dyDescent="0.35">
      <c r="A466" s="3">
        <v>465</v>
      </c>
      <c r="B466" s="4" t="s">
        <v>8</v>
      </c>
      <c r="C466" s="3">
        <v>623</v>
      </c>
      <c r="D466" s="3">
        <v>2019</v>
      </c>
      <c r="E466" s="4" t="s">
        <v>58</v>
      </c>
      <c r="F466" s="4" t="s">
        <v>45</v>
      </c>
      <c r="G466" s="5">
        <v>44745</v>
      </c>
      <c r="H466" s="3">
        <v>103</v>
      </c>
    </row>
    <row r="467" spans="1:8" ht="14.5" x14ac:dyDescent="0.35">
      <c r="A467" s="3">
        <v>466</v>
      </c>
      <c r="B467" s="4" t="s">
        <v>16</v>
      </c>
      <c r="C467" s="3">
        <v>505</v>
      </c>
      <c r="D467" s="3">
        <v>2008</v>
      </c>
      <c r="E467" s="4" t="s">
        <v>298</v>
      </c>
      <c r="F467" s="4" t="s">
        <v>18</v>
      </c>
      <c r="G467" s="5">
        <v>44745</v>
      </c>
      <c r="H467" s="3">
        <v>114</v>
      </c>
    </row>
    <row r="468" spans="1:8" ht="14.5" x14ac:dyDescent="0.35">
      <c r="A468" s="3">
        <v>467</v>
      </c>
      <c r="B468" s="4" t="s">
        <v>16</v>
      </c>
      <c r="C468" s="3">
        <v>550</v>
      </c>
      <c r="D468" s="3">
        <v>2009</v>
      </c>
      <c r="E468" s="4" t="s">
        <v>299</v>
      </c>
      <c r="F468" s="4" t="s">
        <v>10</v>
      </c>
      <c r="G468" s="5">
        <v>44745</v>
      </c>
      <c r="H468" s="3">
        <v>114</v>
      </c>
    </row>
    <row r="469" spans="1:8" ht="14.5" x14ac:dyDescent="0.35">
      <c r="A469" s="3">
        <v>468</v>
      </c>
      <c r="B469" s="4" t="s">
        <v>37</v>
      </c>
      <c r="C469" s="3">
        <v>558</v>
      </c>
      <c r="D469" s="3">
        <v>2017</v>
      </c>
      <c r="E469" s="4" t="s">
        <v>300</v>
      </c>
      <c r="F469" s="4" t="s">
        <v>32</v>
      </c>
      <c r="G469" s="5">
        <v>44774</v>
      </c>
      <c r="H469" s="3">
        <v>102</v>
      </c>
    </row>
    <row r="470" spans="1:8" ht="14.5" x14ac:dyDescent="0.35">
      <c r="A470" s="3">
        <v>469</v>
      </c>
      <c r="B470" s="4" t="s">
        <v>8</v>
      </c>
      <c r="C470" s="3">
        <v>623</v>
      </c>
      <c r="D470" s="3">
        <v>2017</v>
      </c>
      <c r="E470" s="4" t="s">
        <v>301</v>
      </c>
      <c r="F470" s="4" t="s">
        <v>10</v>
      </c>
      <c r="G470" s="5">
        <v>44775</v>
      </c>
      <c r="H470" s="3">
        <v>102</v>
      </c>
    </row>
    <row r="471" spans="1:8" ht="14.5" x14ac:dyDescent="0.35">
      <c r="A471" s="3">
        <v>470</v>
      </c>
      <c r="B471" s="4" t="s">
        <v>8</v>
      </c>
      <c r="C471" s="3">
        <v>623</v>
      </c>
      <c r="D471" s="3">
        <v>2017</v>
      </c>
      <c r="E471" s="4" t="s">
        <v>302</v>
      </c>
      <c r="F471" s="4" t="s">
        <v>10</v>
      </c>
      <c r="G471" s="5">
        <v>44775</v>
      </c>
      <c r="H471" s="3">
        <v>102</v>
      </c>
    </row>
    <row r="472" spans="1:8" ht="14.5" x14ac:dyDescent="0.35">
      <c r="A472" s="3">
        <v>471</v>
      </c>
      <c r="B472" s="4" t="s">
        <v>8</v>
      </c>
      <c r="C472" s="3">
        <v>514</v>
      </c>
      <c r="D472" s="3">
        <v>2017</v>
      </c>
      <c r="E472" s="4" t="s">
        <v>132</v>
      </c>
      <c r="F472" s="4" t="s">
        <v>10</v>
      </c>
      <c r="G472" s="5">
        <v>44776</v>
      </c>
      <c r="H472" s="3">
        <v>103</v>
      </c>
    </row>
    <row r="473" spans="1:8" ht="14.5" x14ac:dyDescent="0.35">
      <c r="A473" s="3">
        <v>472</v>
      </c>
      <c r="B473" s="4" t="s">
        <v>8</v>
      </c>
      <c r="C473" s="3">
        <v>623</v>
      </c>
      <c r="D473" s="3">
        <v>2017</v>
      </c>
      <c r="E473" s="4" t="s">
        <v>303</v>
      </c>
      <c r="F473" s="4" t="s">
        <v>10</v>
      </c>
      <c r="G473" s="5">
        <v>44776</v>
      </c>
      <c r="H473" s="3">
        <v>103</v>
      </c>
    </row>
    <row r="474" spans="1:8" ht="14.5" x14ac:dyDescent="0.35">
      <c r="A474" s="3">
        <v>473</v>
      </c>
      <c r="B474" s="4" t="s">
        <v>8</v>
      </c>
      <c r="C474" s="3">
        <v>623</v>
      </c>
      <c r="D474" s="3">
        <v>2017</v>
      </c>
      <c r="E474" s="4" t="s">
        <v>304</v>
      </c>
      <c r="F474" s="4" t="s">
        <v>10</v>
      </c>
      <c r="G474" s="5">
        <v>44776</v>
      </c>
      <c r="H474" s="3">
        <v>107</v>
      </c>
    </row>
    <row r="475" spans="1:8" ht="14.5" x14ac:dyDescent="0.35">
      <c r="A475" s="3">
        <v>474</v>
      </c>
      <c r="B475" s="4" t="s">
        <v>8</v>
      </c>
      <c r="C475" s="3">
        <v>514</v>
      </c>
      <c r="D475" s="3">
        <v>2017</v>
      </c>
      <c r="E475" s="4" t="s">
        <v>209</v>
      </c>
      <c r="F475" s="4" t="s">
        <v>10</v>
      </c>
      <c r="G475" s="5">
        <v>44776</v>
      </c>
      <c r="H475" s="3">
        <v>115</v>
      </c>
    </row>
    <row r="476" spans="1:8" ht="14.5" x14ac:dyDescent="0.35">
      <c r="A476" s="3">
        <v>475</v>
      </c>
      <c r="B476" s="4" t="s">
        <v>8</v>
      </c>
      <c r="C476" s="3">
        <v>549</v>
      </c>
      <c r="D476" s="3">
        <v>1976</v>
      </c>
      <c r="E476" s="4" t="s">
        <v>46</v>
      </c>
      <c r="F476" s="4" t="s">
        <v>32</v>
      </c>
      <c r="G476" s="5">
        <v>44776</v>
      </c>
      <c r="H476" s="3">
        <v>104</v>
      </c>
    </row>
    <row r="477" spans="1:8" ht="14.5" x14ac:dyDescent="0.35">
      <c r="A477" s="3">
        <v>476</v>
      </c>
      <c r="B477" s="4" t="s">
        <v>8</v>
      </c>
      <c r="C477" s="3">
        <v>623</v>
      </c>
      <c r="D477" s="3">
        <v>2017</v>
      </c>
      <c r="E477" s="4" t="s">
        <v>305</v>
      </c>
      <c r="F477" s="4" t="s">
        <v>10</v>
      </c>
      <c r="G477" s="5">
        <v>44776</v>
      </c>
      <c r="H477" s="3">
        <v>102</v>
      </c>
    </row>
    <row r="478" spans="1:8" ht="14.5" x14ac:dyDescent="0.35">
      <c r="A478" s="3">
        <v>477</v>
      </c>
      <c r="B478" s="4" t="s">
        <v>8</v>
      </c>
      <c r="C478" s="3">
        <v>623</v>
      </c>
      <c r="D478" s="3">
        <v>2017</v>
      </c>
      <c r="E478" s="4" t="s">
        <v>306</v>
      </c>
      <c r="F478" s="4" t="s">
        <v>18</v>
      </c>
      <c r="G478" s="5">
        <v>44805</v>
      </c>
      <c r="H478" s="3">
        <v>102</v>
      </c>
    </row>
    <row r="479" spans="1:8" ht="14.5" x14ac:dyDescent="0.35">
      <c r="A479" s="3">
        <v>478</v>
      </c>
      <c r="B479" s="4" t="s">
        <v>8</v>
      </c>
      <c r="C479" s="3">
        <v>562</v>
      </c>
      <c r="D479" s="3">
        <v>2017</v>
      </c>
      <c r="E479" s="4" t="s">
        <v>307</v>
      </c>
      <c r="F479" s="4" t="s">
        <v>10</v>
      </c>
      <c r="G479" s="5">
        <v>44805</v>
      </c>
      <c r="H479" s="3">
        <v>114</v>
      </c>
    </row>
    <row r="480" spans="1:8" ht="14.5" x14ac:dyDescent="0.35">
      <c r="A480" s="3">
        <v>479</v>
      </c>
      <c r="B480" s="4" t="s">
        <v>8</v>
      </c>
      <c r="C480" s="3">
        <v>623</v>
      </c>
      <c r="D480" s="3">
        <v>2017</v>
      </c>
      <c r="E480" s="4" t="s">
        <v>308</v>
      </c>
      <c r="F480" s="4" t="s">
        <v>10</v>
      </c>
      <c r="G480" s="5">
        <v>44805</v>
      </c>
      <c r="H480" s="3">
        <v>103</v>
      </c>
    </row>
    <row r="481" spans="1:8" ht="14.5" x14ac:dyDescent="0.35">
      <c r="A481" s="3">
        <v>480</v>
      </c>
      <c r="B481" s="4" t="s">
        <v>11</v>
      </c>
      <c r="C481" s="3">
        <v>623</v>
      </c>
      <c r="D481" s="3">
        <v>2017</v>
      </c>
      <c r="E481" s="4" t="s">
        <v>23</v>
      </c>
      <c r="F481" s="4" t="s">
        <v>10</v>
      </c>
      <c r="G481" s="5">
        <v>44806</v>
      </c>
      <c r="H481" s="3">
        <v>114</v>
      </c>
    </row>
    <row r="482" spans="1:8" ht="14.5" x14ac:dyDescent="0.35">
      <c r="A482" s="3">
        <v>481</v>
      </c>
      <c r="B482" s="4" t="s">
        <v>8</v>
      </c>
      <c r="C482" s="3">
        <v>623</v>
      </c>
      <c r="D482" s="3">
        <v>2008</v>
      </c>
      <c r="E482" s="4" t="s">
        <v>309</v>
      </c>
      <c r="F482" s="4" t="s">
        <v>10</v>
      </c>
      <c r="G482" s="5">
        <v>44807</v>
      </c>
      <c r="H482" s="3">
        <v>108</v>
      </c>
    </row>
    <row r="483" spans="1:8" ht="14.5" x14ac:dyDescent="0.35">
      <c r="A483" s="3">
        <v>482</v>
      </c>
      <c r="B483" s="4" t="s">
        <v>11</v>
      </c>
      <c r="C483" s="3">
        <v>636</v>
      </c>
      <c r="D483" s="3">
        <v>2017</v>
      </c>
      <c r="E483" s="4" t="s">
        <v>310</v>
      </c>
      <c r="F483" s="4" t="s">
        <v>10</v>
      </c>
      <c r="G483" s="5">
        <v>44807</v>
      </c>
      <c r="H483" s="3">
        <v>102</v>
      </c>
    </row>
    <row r="484" spans="1:8" ht="14.5" x14ac:dyDescent="0.35">
      <c r="A484" s="3">
        <v>483</v>
      </c>
      <c r="B484" s="4" t="s">
        <v>8</v>
      </c>
      <c r="C484" s="3">
        <v>623</v>
      </c>
      <c r="D484" s="3">
        <v>2017</v>
      </c>
      <c r="E484" s="4" t="s">
        <v>240</v>
      </c>
      <c r="F484" s="4" t="s">
        <v>10</v>
      </c>
      <c r="G484" s="5">
        <v>44807</v>
      </c>
      <c r="H484" s="3">
        <v>102</v>
      </c>
    </row>
    <row r="485" spans="1:8" ht="14.5" x14ac:dyDescent="0.35">
      <c r="A485" s="3">
        <v>484</v>
      </c>
      <c r="B485" s="4" t="s">
        <v>8</v>
      </c>
      <c r="C485" s="3">
        <v>623</v>
      </c>
      <c r="D485" s="3">
        <v>2017</v>
      </c>
      <c r="E485" s="4" t="s">
        <v>23</v>
      </c>
      <c r="F485" s="4" t="s">
        <v>10</v>
      </c>
      <c r="G485" s="5">
        <v>44807</v>
      </c>
      <c r="H485" s="3">
        <v>114</v>
      </c>
    </row>
    <row r="486" spans="1:8" ht="14.5" x14ac:dyDescent="0.35">
      <c r="A486" s="3">
        <v>485</v>
      </c>
      <c r="B486" s="4" t="s">
        <v>8</v>
      </c>
      <c r="C486" s="3">
        <v>562</v>
      </c>
      <c r="D486" s="3">
        <v>2008</v>
      </c>
      <c r="E486" s="4" t="s">
        <v>311</v>
      </c>
      <c r="F486" s="4" t="s">
        <v>10</v>
      </c>
      <c r="G486" s="5">
        <v>44835</v>
      </c>
      <c r="H486" s="3">
        <v>108</v>
      </c>
    </row>
    <row r="487" spans="1:8" ht="14.5" x14ac:dyDescent="0.35">
      <c r="A487" s="3">
        <v>486</v>
      </c>
      <c r="B487" s="4" t="s">
        <v>8</v>
      </c>
      <c r="C487" s="3">
        <v>623</v>
      </c>
      <c r="D487" s="3">
        <v>2017</v>
      </c>
      <c r="E487" s="4" t="s">
        <v>73</v>
      </c>
      <c r="F487" s="4" t="s">
        <v>10</v>
      </c>
      <c r="G487" s="5">
        <v>44835</v>
      </c>
      <c r="H487" s="3">
        <v>102</v>
      </c>
    </row>
    <row r="488" spans="1:8" ht="14.5" x14ac:dyDescent="0.35">
      <c r="A488" s="3">
        <v>487</v>
      </c>
      <c r="B488" s="4" t="s">
        <v>8</v>
      </c>
      <c r="C488" s="3">
        <v>623</v>
      </c>
      <c r="D488" s="3">
        <v>2009</v>
      </c>
      <c r="E488" s="4" t="s">
        <v>33</v>
      </c>
      <c r="F488" s="4" t="s">
        <v>10</v>
      </c>
      <c r="G488" s="5">
        <v>44835</v>
      </c>
      <c r="H488" s="3">
        <v>103</v>
      </c>
    </row>
    <row r="489" spans="1:8" ht="14.5" x14ac:dyDescent="0.35">
      <c r="A489" s="3">
        <v>488</v>
      </c>
      <c r="B489" s="4" t="s">
        <v>8</v>
      </c>
      <c r="C489" s="3">
        <v>623</v>
      </c>
      <c r="D489" s="3">
        <v>2020</v>
      </c>
      <c r="E489" s="4" t="s">
        <v>100</v>
      </c>
      <c r="F489" s="4" t="s">
        <v>10</v>
      </c>
      <c r="G489" s="5">
        <v>44836</v>
      </c>
      <c r="H489" s="3">
        <v>104</v>
      </c>
    </row>
    <row r="490" spans="1:8" ht="14.5" x14ac:dyDescent="0.35">
      <c r="A490" s="3">
        <v>489</v>
      </c>
      <c r="B490" s="4" t="s">
        <v>11</v>
      </c>
      <c r="C490" s="3">
        <v>623</v>
      </c>
      <c r="D490" s="3">
        <v>2020</v>
      </c>
      <c r="E490" s="4" t="s">
        <v>275</v>
      </c>
      <c r="F490" s="4" t="s">
        <v>45</v>
      </c>
      <c r="G490" s="5">
        <v>44836</v>
      </c>
      <c r="H490" s="3">
        <v>114</v>
      </c>
    </row>
    <row r="491" spans="1:8" ht="14.5" x14ac:dyDescent="0.35">
      <c r="A491" s="3">
        <v>490</v>
      </c>
      <c r="B491" s="4" t="s">
        <v>8</v>
      </c>
      <c r="C491" s="3">
        <v>584</v>
      </c>
      <c r="D491" s="3">
        <v>2008</v>
      </c>
      <c r="E491" s="4" t="s">
        <v>46</v>
      </c>
      <c r="F491" s="4" t="s">
        <v>10</v>
      </c>
      <c r="G491" s="5">
        <v>44836</v>
      </c>
      <c r="H491" s="3">
        <v>102</v>
      </c>
    </row>
    <row r="492" spans="1:8" ht="14.5" x14ac:dyDescent="0.35">
      <c r="A492" s="3">
        <v>491</v>
      </c>
      <c r="B492" s="4" t="s">
        <v>16</v>
      </c>
      <c r="C492" s="3">
        <v>550</v>
      </c>
      <c r="D492" s="3">
        <v>1985</v>
      </c>
      <c r="E492" s="4" t="s">
        <v>312</v>
      </c>
      <c r="F492" s="4" t="s">
        <v>32</v>
      </c>
      <c r="G492" s="5">
        <v>44837</v>
      </c>
      <c r="H492" s="3">
        <v>102</v>
      </c>
    </row>
    <row r="493" spans="1:8" ht="14.5" x14ac:dyDescent="0.35">
      <c r="A493" s="3">
        <v>492</v>
      </c>
      <c r="B493" s="4" t="s">
        <v>16</v>
      </c>
      <c r="C493" s="3">
        <v>611</v>
      </c>
      <c r="D493" s="3">
        <v>2005</v>
      </c>
      <c r="E493" s="4" t="s">
        <v>169</v>
      </c>
      <c r="F493" s="4" t="s">
        <v>28</v>
      </c>
      <c r="G493" s="5">
        <v>44837</v>
      </c>
      <c r="H493" s="3">
        <v>102</v>
      </c>
    </row>
    <row r="494" spans="1:8" ht="14.5" x14ac:dyDescent="0.35">
      <c r="A494" s="3">
        <v>493</v>
      </c>
      <c r="B494" s="4" t="s">
        <v>11</v>
      </c>
      <c r="C494" s="3">
        <v>623</v>
      </c>
      <c r="D494" s="3">
        <v>1990</v>
      </c>
      <c r="E494" s="4" t="s">
        <v>79</v>
      </c>
      <c r="F494" s="4" t="s">
        <v>32</v>
      </c>
      <c r="G494" s="5">
        <v>44837</v>
      </c>
      <c r="H494" s="3">
        <v>102</v>
      </c>
    </row>
    <row r="495" spans="1:8" ht="14.5" x14ac:dyDescent="0.35">
      <c r="A495" s="3">
        <v>494</v>
      </c>
      <c r="B495" s="4" t="s">
        <v>8</v>
      </c>
      <c r="C495" s="3">
        <v>623</v>
      </c>
      <c r="D495" s="3">
        <v>2021</v>
      </c>
      <c r="E495" s="4" t="s">
        <v>313</v>
      </c>
      <c r="F495" s="4" t="s">
        <v>32</v>
      </c>
      <c r="G495" s="5">
        <v>44837</v>
      </c>
      <c r="H495" s="3">
        <v>106</v>
      </c>
    </row>
    <row r="496" spans="1:8" ht="14.5" x14ac:dyDescent="0.35">
      <c r="A496" s="3">
        <v>495</v>
      </c>
      <c r="B496" s="4" t="s">
        <v>8</v>
      </c>
      <c r="C496" s="3">
        <v>623</v>
      </c>
      <c r="D496" s="3">
        <v>2021</v>
      </c>
      <c r="E496" s="4" t="s">
        <v>314</v>
      </c>
      <c r="F496" s="4" t="s">
        <v>45</v>
      </c>
      <c r="G496" s="5">
        <v>44837</v>
      </c>
      <c r="H496" s="3">
        <v>102</v>
      </c>
    </row>
    <row r="497" spans="1:8" ht="14.5" x14ac:dyDescent="0.35">
      <c r="A497" s="3">
        <v>496</v>
      </c>
      <c r="B497" s="4" t="s">
        <v>25</v>
      </c>
      <c r="C497" s="3">
        <v>585</v>
      </c>
      <c r="D497" s="3">
        <v>2005</v>
      </c>
      <c r="E497" s="4" t="s">
        <v>315</v>
      </c>
      <c r="F497" s="4" t="s">
        <v>10</v>
      </c>
      <c r="G497" s="5">
        <v>44866</v>
      </c>
      <c r="H497" s="3">
        <v>109</v>
      </c>
    </row>
    <row r="498" spans="1:8" ht="14.5" x14ac:dyDescent="0.35">
      <c r="A498" s="3">
        <v>497</v>
      </c>
      <c r="B498" s="4" t="s">
        <v>8</v>
      </c>
      <c r="C498" s="3">
        <v>623</v>
      </c>
      <c r="D498" s="3">
        <v>2021</v>
      </c>
      <c r="E498" s="4" t="s">
        <v>92</v>
      </c>
      <c r="F498" s="4" t="s">
        <v>10</v>
      </c>
      <c r="G498" s="5">
        <v>44867</v>
      </c>
      <c r="H498" s="3">
        <v>114</v>
      </c>
    </row>
    <row r="499" spans="1:8" ht="14.5" x14ac:dyDescent="0.35">
      <c r="A499" s="3">
        <v>498</v>
      </c>
      <c r="B499" s="4" t="s">
        <v>8</v>
      </c>
      <c r="C499" s="3">
        <v>623</v>
      </c>
      <c r="D499" s="3">
        <v>2021</v>
      </c>
      <c r="E499" s="4" t="s">
        <v>121</v>
      </c>
      <c r="F499" s="4" t="s">
        <v>10</v>
      </c>
      <c r="G499" s="5">
        <v>44896</v>
      </c>
      <c r="H499" s="3">
        <v>102</v>
      </c>
    </row>
    <row r="500" spans="1:8" ht="14.5" x14ac:dyDescent="0.35">
      <c r="A500" s="3">
        <v>499</v>
      </c>
      <c r="B500" s="4" t="s">
        <v>8</v>
      </c>
      <c r="C500" s="3">
        <v>562</v>
      </c>
      <c r="D500" s="3">
        <v>2021</v>
      </c>
      <c r="E500" s="4" t="s">
        <v>276</v>
      </c>
      <c r="F500" s="4" t="s">
        <v>10</v>
      </c>
      <c r="G500" s="5">
        <v>44897</v>
      </c>
      <c r="H500" s="3">
        <v>114</v>
      </c>
    </row>
    <row r="501" spans="1:8" ht="14.5" x14ac:dyDescent="0.35">
      <c r="A501" s="3">
        <v>500</v>
      </c>
      <c r="B501" s="4" t="s">
        <v>37</v>
      </c>
      <c r="C501" s="3">
        <v>623</v>
      </c>
      <c r="D501" s="3">
        <v>2021</v>
      </c>
      <c r="E501" s="4" t="s">
        <v>316</v>
      </c>
      <c r="F501" s="4" t="s">
        <v>10</v>
      </c>
      <c r="G501" s="5">
        <v>44898</v>
      </c>
      <c r="H501" s="3">
        <v>102</v>
      </c>
    </row>
    <row r="502" spans="1:8" ht="12.5" x14ac:dyDescent="0.25">
      <c r="G502" s="7"/>
    </row>
    <row r="503" spans="1:8" ht="12.5" x14ac:dyDescent="0.25">
      <c r="G503" s="7"/>
    </row>
    <row r="504" spans="1:8" ht="12.5" x14ac:dyDescent="0.25">
      <c r="G504" s="7"/>
    </row>
    <row r="505" spans="1:8" ht="12.5" x14ac:dyDescent="0.25">
      <c r="G505" s="7"/>
    </row>
    <row r="506" spans="1:8" ht="12.5" x14ac:dyDescent="0.25">
      <c r="G506" s="7"/>
    </row>
    <row r="507" spans="1:8" ht="12.5" x14ac:dyDescent="0.25">
      <c r="G507" s="7"/>
    </row>
    <row r="508" spans="1:8" ht="12.5" x14ac:dyDescent="0.25">
      <c r="G508" s="7"/>
    </row>
    <row r="509" spans="1:8" ht="12.5" x14ac:dyDescent="0.25">
      <c r="G509" s="7"/>
    </row>
    <row r="510" spans="1:8" ht="12.5" x14ac:dyDescent="0.25">
      <c r="G510" s="7"/>
    </row>
    <row r="511" spans="1:8" ht="12.5" x14ac:dyDescent="0.25">
      <c r="G511" s="7"/>
    </row>
    <row r="512" spans="1:8" ht="12.5" x14ac:dyDescent="0.25">
      <c r="G512" s="7"/>
    </row>
    <row r="513" spans="7:7" ht="12.5" x14ac:dyDescent="0.25">
      <c r="G513" s="7"/>
    </row>
    <row r="514" spans="7:7" ht="12.5" x14ac:dyDescent="0.25">
      <c r="G514" s="7"/>
    </row>
    <row r="515" spans="7:7" ht="12.5" x14ac:dyDescent="0.25">
      <c r="G515" s="7"/>
    </row>
    <row r="516" spans="7:7" ht="12.5" x14ac:dyDescent="0.25">
      <c r="G516" s="7"/>
    </row>
    <row r="517" spans="7:7" ht="12.5" x14ac:dyDescent="0.25">
      <c r="G517" s="7"/>
    </row>
    <row r="518" spans="7:7" ht="12.5" x14ac:dyDescent="0.25">
      <c r="G518" s="7"/>
    </row>
    <row r="519" spans="7:7" ht="12.5" x14ac:dyDescent="0.25">
      <c r="G519" s="7"/>
    </row>
    <row r="520" spans="7:7" ht="12.5" x14ac:dyDescent="0.25">
      <c r="G520" s="7"/>
    </row>
    <row r="521" spans="7:7" ht="12.5" x14ac:dyDescent="0.25">
      <c r="G521" s="7"/>
    </row>
    <row r="522" spans="7:7" ht="12.5" x14ac:dyDescent="0.25">
      <c r="G522" s="7"/>
    </row>
    <row r="523" spans="7:7" ht="12.5" x14ac:dyDescent="0.25">
      <c r="G523" s="7"/>
    </row>
    <row r="524" spans="7:7" ht="12.5" x14ac:dyDescent="0.25">
      <c r="G524" s="7"/>
    </row>
    <row r="525" spans="7:7" ht="12.5" x14ac:dyDescent="0.25">
      <c r="G525" s="7"/>
    </row>
    <row r="526" spans="7:7" ht="12.5" x14ac:dyDescent="0.25">
      <c r="G526" s="7"/>
    </row>
    <row r="527" spans="7:7" ht="12.5" x14ac:dyDescent="0.25">
      <c r="G527" s="7"/>
    </row>
    <row r="528" spans="7:7" ht="12.5" x14ac:dyDescent="0.25">
      <c r="G528" s="7"/>
    </row>
    <row r="529" spans="7:7" ht="12.5" x14ac:dyDescent="0.25">
      <c r="G529" s="7"/>
    </row>
    <row r="530" spans="7:7" ht="12.5" x14ac:dyDescent="0.25">
      <c r="G530" s="7"/>
    </row>
    <row r="531" spans="7:7" ht="12.5" x14ac:dyDescent="0.25">
      <c r="G531" s="7"/>
    </row>
    <row r="532" spans="7:7" ht="12.5" x14ac:dyDescent="0.25">
      <c r="G532" s="7"/>
    </row>
    <row r="533" spans="7:7" ht="12.5" x14ac:dyDescent="0.25">
      <c r="G533" s="7"/>
    </row>
    <row r="534" spans="7:7" ht="12.5" x14ac:dyDescent="0.25">
      <c r="G534" s="7"/>
    </row>
    <row r="535" spans="7:7" ht="12.5" x14ac:dyDescent="0.25">
      <c r="G535" s="7"/>
    </row>
    <row r="536" spans="7:7" ht="12.5" x14ac:dyDescent="0.25">
      <c r="G536" s="7"/>
    </row>
    <row r="537" spans="7:7" ht="12.5" x14ac:dyDescent="0.25">
      <c r="G537" s="7"/>
    </row>
    <row r="538" spans="7:7" ht="12.5" x14ac:dyDescent="0.25">
      <c r="G538" s="7"/>
    </row>
    <row r="539" spans="7:7" ht="12.5" x14ac:dyDescent="0.25">
      <c r="G539" s="7"/>
    </row>
    <row r="540" spans="7:7" ht="12.5" x14ac:dyDescent="0.25">
      <c r="G540" s="7"/>
    </row>
    <row r="541" spans="7:7" ht="12.5" x14ac:dyDescent="0.25">
      <c r="G541" s="7"/>
    </row>
    <row r="542" spans="7:7" ht="12.5" x14ac:dyDescent="0.25">
      <c r="G542" s="7"/>
    </row>
    <row r="543" spans="7:7" ht="12.5" x14ac:dyDescent="0.25">
      <c r="G543" s="7"/>
    </row>
    <row r="544" spans="7:7" ht="12.5" x14ac:dyDescent="0.25">
      <c r="G544" s="7"/>
    </row>
    <row r="545" spans="7:7" ht="12.5" x14ac:dyDescent="0.25">
      <c r="G545" s="7"/>
    </row>
    <row r="546" spans="7:7" ht="12.5" x14ac:dyDescent="0.25">
      <c r="G546" s="7"/>
    </row>
    <row r="547" spans="7:7" ht="12.5" x14ac:dyDescent="0.25">
      <c r="G547" s="7"/>
    </row>
    <row r="548" spans="7:7" ht="12.5" x14ac:dyDescent="0.25">
      <c r="G548" s="7"/>
    </row>
    <row r="549" spans="7:7" ht="12.5" x14ac:dyDescent="0.25">
      <c r="G549" s="7"/>
    </row>
    <row r="550" spans="7:7" ht="12.5" x14ac:dyDescent="0.25">
      <c r="G550" s="7"/>
    </row>
    <row r="551" spans="7:7" ht="12.5" x14ac:dyDescent="0.25">
      <c r="G551" s="7"/>
    </row>
    <row r="552" spans="7:7" ht="12.5" x14ac:dyDescent="0.25">
      <c r="G552" s="7"/>
    </row>
    <row r="553" spans="7:7" ht="12.5" x14ac:dyDescent="0.25">
      <c r="G553" s="7"/>
    </row>
    <row r="554" spans="7:7" ht="12.5" x14ac:dyDescent="0.25">
      <c r="G554" s="7"/>
    </row>
    <row r="555" spans="7:7" ht="12.5" x14ac:dyDescent="0.25">
      <c r="G555" s="7"/>
    </row>
    <row r="556" spans="7:7" ht="12.5" x14ac:dyDescent="0.25">
      <c r="G556" s="7"/>
    </row>
    <row r="557" spans="7:7" ht="12.5" x14ac:dyDescent="0.25">
      <c r="G557" s="7"/>
    </row>
    <row r="558" spans="7:7" ht="12.5" x14ac:dyDescent="0.25">
      <c r="G558" s="7"/>
    </row>
    <row r="559" spans="7:7" ht="12.5" x14ac:dyDescent="0.25">
      <c r="G559" s="7"/>
    </row>
    <row r="560" spans="7:7" ht="12.5" x14ac:dyDescent="0.25">
      <c r="G560" s="7"/>
    </row>
    <row r="561" spans="7:7" ht="12.5" x14ac:dyDescent="0.25">
      <c r="G561" s="7"/>
    </row>
    <row r="562" spans="7:7" ht="12.5" x14ac:dyDescent="0.25">
      <c r="G562" s="7"/>
    </row>
    <row r="563" spans="7:7" ht="12.5" x14ac:dyDescent="0.25">
      <c r="G563" s="7"/>
    </row>
    <row r="564" spans="7:7" ht="12.5" x14ac:dyDescent="0.25">
      <c r="G564" s="7"/>
    </row>
    <row r="565" spans="7:7" ht="12.5" x14ac:dyDescent="0.25">
      <c r="G565" s="7"/>
    </row>
    <row r="566" spans="7:7" ht="12.5" x14ac:dyDescent="0.25">
      <c r="G566" s="7"/>
    </row>
    <row r="567" spans="7:7" ht="12.5" x14ac:dyDescent="0.25">
      <c r="G567" s="7"/>
    </row>
    <row r="568" spans="7:7" ht="12.5" x14ac:dyDescent="0.25">
      <c r="G568" s="7"/>
    </row>
    <row r="569" spans="7:7" ht="12.5" x14ac:dyDescent="0.25">
      <c r="G569" s="7"/>
    </row>
    <row r="570" spans="7:7" ht="12.5" x14ac:dyDescent="0.25">
      <c r="G570" s="7"/>
    </row>
    <row r="571" spans="7:7" ht="12.5" x14ac:dyDescent="0.25">
      <c r="G571" s="7"/>
    </row>
    <row r="572" spans="7:7" ht="12.5" x14ac:dyDescent="0.25">
      <c r="G572" s="7"/>
    </row>
    <row r="573" spans="7:7" ht="12.5" x14ac:dyDescent="0.25">
      <c r="G573" s="7"/>
    </row>
    <row r="574" spans="7:7" ht="12.5" x14ac:dyDescent="0.25">
      <c r="G574" s="7"/>
    </row>
    <row r="575" spans="7:7" ht="12.5" x14ac:dyDescent="0.25">
      <c r="G575" s="7"/>
    </row>
    <row r="576" spans="7:7" ht="12.5" x14ac:dyDescent="0.25">
      <c r="G576" s="7"/>
    </row>
    <row r="577" spans="7:7" ht="12.5" x14ac:dyDescent="0.25">
      <c r="G577" s="7"/>
    </row>
    <row r="578" spans="7:7" ht="12.5" x14ac:dyDescent="0.25">
      <c r="G578" s="7"/>
    </row>
    <row r="579" spans="7:7" ht="12.5" x14ac:dyDescent="0.25">
      <c r="G579" s="7"/>
    </row>
    <row r="580" spans="7:7" ht="12.5" x14ac:dyDescent="0.25">
      <c r="G580" s="7"/>
    </row>
    <row r="581" spans="7:7" ht="12.5" x14ac:dyDescent="0.25">
      <c r="G581" s="7"/>
    </row>
    <row r="582" spans="7:7" ht="12.5" x14ac:dyDescent="0.25">
      <c r="G582" s="7"/>
    </row>
    <row r="583" spans="7:7" ht="12.5" x14ac:dyDescent="0.25">
      <c r="G583" s="7"/>
    </row>
    <row r="584" spans="7:7" ht="12.5" x14ac:dyDescent="0.25">
      <c r="G584" s="7"/>
    </row>
    <row r="585" spans="7:7" ht="12.5" x14ac:dyDescent="0.25">
      <c r="G585" s="7"/>
    </row>
    <row r="586" spans="7:7" ht="12.5" x14ac:dyDescent="0.25">
      <c r="G586" s="7"/>
    </row>
    <row r="587" spans="7:7" ht="12.5" x14ac:dyDescent="0.25">
      <c r="G587" s="7"/>
    </row>
    <row r="588" spans="7:7" ht="12.5" x14ac:dyDescent="0.25">
      <c r="G588" s="7"/>
    </row>
    <row r="589" spans="7:7" ht="12.5" x14ac:dyDescent="0.25">
      <c r="G589" s="7"/>
    </row>
    <row r="590" spans="7:7" ht="12.5" x14ac:dyDescent="0.25">
      <c r="G590" s="7"/>
    </row>
    <row r="591" spans="7:7" ht="12.5" x14ac:dyDescent="0.25">
      <c r="G591" s="7"/>
    </row>
    <row r="592" spans="7:7" ht="12.5" x14ac:dyDescent="0.25">
      <c r="G592" s="7"/>
    </row>
    <row r="593" spans="7:7" ht="12.5" x14ac:dyDescent="0.25">
      <c r="G593" s="7"/>
    </row>
    <row r="594" spans="7:7" ht="12.5" x14ac:dyDescent="0.25">
      <c r="G594" s="7"/>
    </row>
    <row r="595" spans="7:7" ht="12.5" x14ac:dyDescent="0.25">
      <c r="G595" s="7"/>
    </row>
    <row r="596" spans="7:7" ht="12.5" x14ac:dyDescent="0.25">
      <c r="G596" s="7"/>
    </row>
    <row r="597" spans="7:7" ht="12.5" x14ac:dyDescent="0.25">
      <c r="G597" s="7"/>
    </row>
    <row r="598" spans="7:7" ht="12.5" x14ac:dyDescent="0.25">
      <c r="G598" s="7"/>
    </row>
    <row r="599" spans="7:7" ht="12.5" x14ac:dyDescent="0.25">
      <c r="G599" s="7"/>
    </row>
    <row r="600" spans="7:7" ht="12.5" x14ac:dyDescent="0.25">
      <c r="G600" s="7"/>
    </row>
    <row r="601" spans="7:7" ht="12.5" x14ac:dyDescent="0.25">
      <c r="G601" s="7"/>
    </row>
    <row r="602" spans="7:7" ht="12.5" x14ac:dyDescent="0.25">
      <c r="G602" s="7"/>
    </row>
    <row r="603" spans="7:7" ht="12.5" x14ac:dyDescent="0.25">
      <c r="G603" s="7"/>
    </row>
    <row r="604" spans="7:7" ht="12.5" x14ac:dyDescent="0.25">
      <c r="G604" s="7"/>
    </row>
    <row r="605" spans="7:7" ht="12.5" x14ac:dyDescent="0.25">
      <c r="G605" s="7"/>
    </row>
    <row r="606" spans="7:7" ht="12.5" x14ac:dyDescent="0.25">
      <c r="G606" s="7"/>
    </row>
    <row r="607" spans="7:7" ht="12.5" x14ac:dyDescent="0.25">
      <c r="G607" s="7"/>
    </row>
    <row r="608" spans="7:7" ht="12.5" x14ac:dyDescent="0.25">
      <c r="G608" s="7"/>
    </row>
    <row r="609" spans="7:7" ht="12.5" x14ac:dyDescent="0.25">
      <c r="G609" s="7"/>
    </row>
    <row r="610" spans="7:7" ht="12.5" x14ac:dyDescent="0.25">
      <c r="G610" s="7"/>
    </row>
    <row r="611" spans="7:7" ht="12.5" x14ac:dyDescent="0.25">
      <c r="G611" s="7"/>
    </row>
    <row r="612" spans="7:7" ht="12.5" x14ac:dyDescent="0.25">
      <c r="G612" s="7"/>
    </row>
    <row r="613" spans="7:7" ht="12.5" x14ac:dyDescent="0.25">
      <c r="G613" s="7"/>
    </row>
    <row r="614" spans="7:7" ht="12.5" x14ac:dyDescent="0.25">
      <c r="G614" s="7"/>
    </row>
    <row r="615" spans="7:7" ht="12.5" x14ac:dyDescent="0.25">
      <c r="G615" s="7"/>
    </row>
    <row r="616" spans="7:7" ht="12.5" x14ac:dyDescent="0.25">
      <c r="G616" s="7"/>
    </row>
    <row r="617" spans="7:7" ht="12.5" x14ac:dyDescent="0.25">
      <c r="G617" s="7"/>
    </row>
    <row r="618" spans="7:7" ht="12.5" x14ac:dyDescent="0.25">
      <c r="G618" s="7"/>
    </row>
    <row r="619" spans="7:7" ht="12.5" x14ac:dyDescent="0.25">
      <c r="G619" s="7"/>
    </row>
    <row r="620" spans="7:7" ht="12.5" x14ac:dyDescent="0.25">
      <c r="G620" s="7"/>
    </row>
    <row r="621" spans="7:7" ht="12.5" x14ac:dyDescent="0.25">
      <c r="G621" s="7"/>
    </row>
    <row r="622" spans="7:7" ht="12.5" x14ac:dyDescent="0.25">
      <c r="G622" s="7"/>
    </row>
    <row r="623" spans="7:7" ht="12.5" x14ac:dyDescent="0.25">
      <c r="G623" s="7"/>
    </row>
    <row r="624" spans="7:7" ht="12.5" x14ac:dyDescent="0.25">
      <c r="G624" s="7"/>
    </row>
    <row r="625" spans="7:7" ht="12.5" x14ac:dyDescent="0.25">
      <c r="G625" s="7"/>
    </row>
    <row r="626" spans="7:7" ht="12.5" x14ac:dyDescent="0.25">
      <c r="G626" s="7"/>
    </row>
    <row r="627" spans="7:7" ht="12.5" x14ac:dyDescent="0.25">
      <c r="G627" s="7"/>
    </row>
    <row r="628" spans="7:7" ht="12.5" x14ac:dyDescent="0.25">
      <c r="G628" s="7"/>
    </row>
    <row r="629" spans="7:7" ht="12.5" x14ac:dyDescent="0.25">
      <c r="G629" s="7"/>
    </row>
    <row r="630" spans="7:7" ht="12.5" x14ac:dyDescent="0.25">
      <c r="G630" s="7"/>
    </row>
    <row r="631" spans="7:7" ht="12.5" x14ac:dyDescent="0.25">
      <c r="G631" s="7"/>
    </row>
    <row r="632" spans="7:7" ht="12.5" x14ac:dyDescent="0.25">
      <c r="G632" s="7"/>
    </row>
    <row r="633" spans="7:7" ht="12.5" x14ac:dyDescent="0.25">
      <c r="G633" s="7"/>
    </row>
    <row r="634" spans="7:7" ht="12.5" x14ac:dyDescent="0.25">
      <c r="G634" s="7"/>
    </row>
    <row r="635" spans="7:7" ht="12.5" x14ac:dyDescent="0.25">
      <c r="G635" s="7"/>
    </row>
    <row r="636" spans="7:7" ht="12.5" x14ac:dyDescent="0.25">
      <c r="G636" s="7"/>
    </row>
    <row r="637" spans="7:7" ht="12.5" x14ac:dyDescent="0.25">
      <c r="G637" s="7"/>
    </row>
    <row r="638" spans="7:7" ht="12.5" x14ac:dyDescent="0.25">
      <c r="G638" s="7"/>
    </row>
    <row r="639" spans="7:7" ht="12.5" x14ac:dyDescent="0.25">
      <c r="G639" s="7"/>
    </row>
    <row r="640" spans="7:7" ht="12.5" x14ac:dyDescent="0.25">
      <c r="G640" s="7"/>
    </row>
    <row r="641" spans="7:7" ht="12.5" x14ac:dyDescent="0.25">
      <c r="G641" s="7"/>
    </row>
    <row r="642" spans="7:7" ht="12.5" x14ac:dyDescent="0.25">
      <c r="G642" s="7"/>
    </row>
    <row r="643" spans="7:7" ht="12.5" x14ac:dyDescent="0.25">
      <c r="G643" s="7"/>
    </row>
    <row r="644" spans="7:7" ht="12.5" x14ac:dyDescent="0.25">
      <c r="G644" s="7"/>
    </row>
    <row r="645" spans="7:7" ht="12.5" x14ac:dyDescent="0.25">
      <c r="G645" s="7"/>
    </row>
    <row r="646" spans="7:7" ht="12.5" x14ac:dyDescent="0.25">
      <c r="G646" s="7"/>
    </row>
    <row r="647" spans="7:7" ht="12.5" x14ac:dyDescent="0.25">
      <c r="G647" s="7"/>
    </row>
    <row r="648" spans="7:7" ht="12.5" x14ac:dyDescent="0.25">
      <c r="G648" s="7"/>
    </row>
    <row r="649" spans="7:7" ht="12.5" x14ac:dyDescent="0.25">
      <c r="G649" s="7"/>
    </row>
    <row r="650" spans="7:7" ht="12.5" x14ac:dyDescent="0.25">
      <c r="G650" s="7"/>
    </row>
    <row r="651" spans="7:7" ht="12.5" x14ac:dyDescent="0.25">
      <c r="G651" s="7"/>
    </row>
    <row r="652" spans="7:7" ht="12.5" x14ac:dyDescent="0.25">
      <c r="G652" s="7"/>
    </row>
    <row r="653" spans="7:7" ht="12.5" x14ac:dyDescent="0.25">
      <c r="G653" s="7"/>
    </row>
    <row r="654" spans="7:7" ht="12.5" x14ac:dyDescent="0.25">
      <c r="G654" s="7"/>
    </row>
    <row r="655" spans="7:7" ht="12.5" x14ac:dyDescent="0.25">
      <c r="G655" s="7"/>
    </row>
    <row r="656" spans="7:7" ht="12.5" x14ac:dyDescent="0.25">
      <c r="G656" s="7"/>
    </row>
    <row r="657" spans="7:7" ht="12.5" x14ac:dyDescent="0.25">
      <c r="G657" s="7"/>
    </row>
    <row r="658" spans="7:7" ht="12.5" x14ac:dyDescent="0.25">
      <c r="G658" s="7"/>
    </row>
    <row r="659" spans="7:7" ht="12.5" x14ac:dyDescent="0.25">
      <c r="G659" s="7"/>
    </row>
    <row r="660" spans="7:7" ht="12.5" x14ac:dyDescent="0.25">
      <c r="G660" s="7"/>
    </row>
    <row r="661" spans="7:7" ht="12.5" x14ac:dyDescent="0.25">
      <c r="G661" s="7"/>
    </row>
    <row r="662" spans="7:7" ht="12.5" x14ac:dyDescent="0.25">
      <c r="G662" s="7"/>
    </row>
    <row r="663" spans="7:7" ht="12.5" x14ac:dyDescent="0.25">
      <c r="G663" s="7"/>
    </row>
    <row r="664" spans="7:7" ht="12.5" x14ac:dyDescent="0.25">
      <c r="G664" s="7"/>
    </row>
    <row r="665" spans="7:7" ht="12.5" x14ac:dyDescent="0.25">
      <c r="G665" s="7"/>
    </row>
    <row r="666" spans="7:7" ht="12.5" x14ac:dyDescent="0.25">
      <c r="G666" s="7"/>
    </row>
    <row r="667" spans="7:7" ht="12.5" x14ac:dyDescent="0.25">
      <c r="G667" s="7"/>
    </row>
    <row r="668" spans="7:7" ht="12.5" x14ac:dyDescent="0.25">
      <c r="G668" s="7"/>
    </row>
    <row r="669" spans="7:7" ht="12.5" x14ac:dyDescent="0.25">
      <c r="G669" s="7"/>
    </row>
    <row r="670" spans="7:7" ht="12.5" x14ac:dyDescent="0.25">
      <c r="G670" s="7"/>
    </row>
    <row r="671" spans="7:7" ht="12.5" x14ac:dyDescent="0.25">
      <c r="G671" s="7"/>
    </row>
    <row r="672" spans="7:7" ht="12.5" x14ac:dyDescent="0.25">
      <c r="G672" s="7"/>
    </row>
    <row r="673" spans="7:7" ht="12.5" x14ac:dyDescent="0.25">
      <c r="G673" s="7"/>
    </row>
    <row r="674" spans="7:7" ht="12.5" x14ac:dyDescent="0.25">
      <c r="G674" s="7"/>
    </row>
    <row r="675" spans="7:7" ht="12.5" x14ac:dyDescent="0.25">
      <c r="G675" s="7"/>
    </row>
    <row r="676" spans="7:7" ht="12.5" x14ac:dyDescent="0.25">
      <c r="G676" s="7"/>
    </row>
    <row r="677" spans="7:7" ht="12.5" x14ac:dyDescent="0.25">
      <c r="G677" s="7"/>
    </row>
    <row r="678" spans="7:7" ht="12.5" x14ac:dyDescent="0.25">
      <c r="G678" s="7"/>
    </row>
    <row r="679" spans="7:7" ht="12.5" x14ac:dyDescent="0.25">
      <c r="G679" s="7"/>
    </row>
    <row r="680" spans="7:7" ht="12.5" x14ac:dyDescent="0.25">
      <c r="G680" s="7"/>
    </row>
    <row r="681" spans="7:7" ht="12.5" x14ac:dyDescent="0.25">
      <c r="G681" s="7"/>
    </row>
    <row r="682" spans="7:7" ht="12.5" x14ac:dyDescent="0.25">
      <c r="G682" s="7"/>
    </row>
    <row r="683" spans="7:7" ht="12.5" x14ac:dyDescent="0.25">
      <c r="G683" s="7"/>
    </row>
    <row r="684" spans="7:7" ht="12.5" x14ac:dyDescent="0.25">
      <c r="G684" s="7"/>
    </row>
    <row r="685" spans="7:7" ht="12.5" x14ac:dyDescent="0.25">
      <c r="G685" s="7"/>
    </row>
    <row r="686" spans="7:7" ht="12.5" x14ac:dyDescent="0.25">
      <c r="G686" s="7"/>
    </row>
    <row r="687" spans="7:7" ht="12.5" x14ac:dyDescent="0.25">
      <c r="G687" s="7"/>
    </row>
    <row r="688" spans="7:7" ht="12.5" x14ac:dyDescent="0.25">
      <c r="G688" s="7"/>
    </row>
    <row r="689" spans="7:7" ht="12.5" x14ac:dyDescent="0.25">
      <c r="G689" s="7"/>
    </row>
    <row r="690" spans="7:7" ht="12.5" x14ac:dyDescent="0.25">
      <c r="G690" s="7"/>
    </row>
    <row r="691" spans="7:7" ht="12.5" x14ac:dyDescent="0.25">
      <c r="G691" s="7"/>
    </row>
    <row r="692" spans="7:7" ht="12.5" x14ac:dyDescent="0.25">
      <c r="G692" s="7"/>
    </row>
    <row r="693" spans="7:7" ht="12.5" x14ac:dyDescent="0.25">
      <c r="G693" s="7"/>
    </row>
    <row r="694" spans="7:7" ht="12.5" x14ac:dyDescent="0.25">
      <c r="G694" s="7"/>
    </row>
    <row r="695" spans="7:7" ht="12.5" x14ac:dyDescent="0.25">
      <c r="G695" s="7"/>
    </row>
    <row r="696" spans="7:7" ht="12.5" x14ac:dyDescent="0.25">
      <c r="G696" s="7"/>
    </row>
    <row r="697" spans="7:7" ht="12.5" x14ac:dyDescent="0.25">
      <c r="G697" s="7"/>
    </row>
    <row r="698" spans="7:7" ht="12.5" x14ac:dyDescent="0.25">
      <c r="G698" s="7"/>
    </row>
    <row r="699" spans="7:7" ht="12.5" x14ac:dyDescent="0.25">
      <c r="G699" s="7"/>
    </row>
    <row r="700" spans="7:7" ht="12.5" x14ac:dyDescent="0.25">
      <c r="G700" s="7"/>
    </row>
    <row r="701" spans="7:7" ht="12.5" x14ac:dyDescent="0.25">
      <c r="G701" s="7"/>
    </row>
    <row r="702" spans="7:7" ht="12.5" x14ac:dyDescent="0.25">
      <c r="G702" s="7"/>
    </row>
    <row r="703" spans="7:7" ht="12.5" x14ac:dyDescent="0.25">
      <c r="G703" s="7"/>
    </row>
    <row r="704" spans="7:7" ht="12.5" x14ac:dyDescent="0.25">
      <c r="G704" s="7"/>
    </row>
    <row r="705" spans="7:7" ht="12.5" x14ac:dyDescent="0.25">
      <c r="G705" s="7"/>
    </row>
    <row r="706" spans="7:7" ht="12.5" x14ac:dyDescent="0.25">
      <c r="G706" s="7"/>
    </row>
    <row r="707" spans="7:7" ht="12.5" x14ac:dyDescent="0.25">
      <c r="G707" s="7"/>
    </row>
    <row r="708" spans="7:7" ht="12.5" x14ac:dyDescent="0.25">
      <c r="G708" s="7"/>
    </row>
    <row r="709" spans="7:7" ht="12.5" x14ac:dyDescent="0.25">
      <c r="G709" s="7"/>
    </row>
    <row r="710" spans="7:7" ht="12.5" x14ac:dyDescent="0.25">
      <c r="G710" s="7"/>
    </row>
    <row r="711" spans="7:7" ht="12.5" x14ac:dyDescent="0.25">
      <c r="G711" s="7"/>
    </row>
    <row r="712" spans="7:7" ht="12.5" x14ac:dyDescent="0.25">
      <c r="G712" s="7"/>
    </row>
    <row r="713" spans="7:7" ht="12.5" x14ac:dyDescent="0.25">
      <c r="G713" s="7"/>
    </row>
    <row r="714" spans="7:7" ht="12.5" x14ac:dyDescent="0.25">
      <c r="G714" s="7"/>
    </row>
    <row r="715" spans="7:7" ht="12.5" x14ac:dyDescent="0.25">
      <c r="G715" s="7"/>
    </row>
    <row r="716" spans="7:7" ht="12.5" x14ac:dyDescent="0.25">
      <c r="G716" s="7"/>
    </row>
    <row r="717" spans="7:7" ht="12.5" x14ac:dyDescent="0.25">
      <c r="G717" s="7"/>
    </row>
    <row r="718" spans="7:7" ht="12.5" x14ac:dyDescent="0.25">
      <c r="G718" s="7"/>
    </row>
    <row r="719" spans="7:7" ht="12.5" x14ac:dyDescent="0.25">
      <c r="G719" s="7"/>
    </row>
    <row r="720" spans="7:7" ht="12.5" x14ac:dyDescent="0.25">
      <c r="G720" s="7"/>
    </row>
    <row r="721" spans="7:7" ht="12.5" x14ac:dyDescent="0.25">
      <c r="G721" s="7"/>
    </row>
    <row r="722" spans="7:7" ht="12.5" x14ac:dyDescent="0.25">
      <c r="G722" s="7"/>
    </row>
    <row r="723" spans="7:7" ht="12.5" x14ac:dyDescent="0.25">
      <c r="G723" s="7"/>
    </row>
    <row r="724" spans="7:7" ht="12.5" x14ac:dyDescent="0.25">
      <c r="G724" s="7"/>
    </row>
    <row r="725" spans="7:7" ht="12.5" x14ac:dyDescent="0.25">
      <c r="G725" s="7"/>
    </row>
    <row r="726" spans="7:7" ht="12.5" x14ac:dyDescent="0.25">
      <c r="G726" s="7"/>
    </row>
    <row r="727" spans="7:7" ht="12.5" x14ac:dyDescent="0.25">
      <c r="G727" s="7"/>
    </row>
    <row r="728" spans="7:7" ht="12.5" x14ac:dyDescent="0.25">
      <c r="G728" s="7"/>
    </row>
    <row r="729" spans="7:7" ht="12.5" x14ac:dyDescent="0.25">
      <c r="G729" s="7"/>
    </row>
    <row r="730" spans="7:7" ht="12.5" x14ac:dyDescent="0.25">
      <c r="G730" s="7"/>
    </row>
    <row r="731" spans="7:7" ht="12.5" x14ac:dyDescent="0.25">
      <c r="G731" s="7"/>
    </row>
    <row r="732" spans="7:7" ht="12.5" x14ac:dyDescent="0.25">
      <c r="G732" s="7"/>
    </row>
    <row r="733" spans="7:7" ht="12.5" x14ac:dyDescent="0.25">
      <c r="G733" s="7"/>
    </row>
    <row r="734" spans="7:7" ht="12.5" x14ac:dyDescent="0.25">
      <c r="G734" s="7"/>
    </row>
    <row r="735" spans="7:7" ht="12.5" x14ac:dyDescent="0.25">
      <c r="G735" s="7"/>
    </row>
    <row r="736" spans="7:7" ht="12.5" x14ac:dyDescent="0.25">
      <c r="G736" s="7"/>
    </row>
    <row r="737" spans="7:7" ht="12.5" x14ac:dyDescent="0.25">
      <c r="G737" s="7"/>
    </row>
    <row r="738" spans="7:7" ht="12.5" x14ac:dyDescent="0.25">
      <c r="G738" s="7"/>
    </row>
    <row r="739" spans="7:7" ht="12.5" x14ac:dyDescent="0.25">
      <c r="G739" s="7"/>
    </row>
    <row r="740" spans="7:7" ht="12.5" x14ac:dyDescent="0.25">
      <c r="G740" s="7"/>
    </row>
    <row r="741" spans="7:7" ht="12.5" x14ac:dyDescent="0.25">
      <c r="G741" s="7"/>
    </row>
    <row r="742" spans="7:7" ht="12.5" x14ac:dyDescent="0.25">
      <c r="G742" s="7"/>
    </row>
    <row r="743" spans="7:7" ht="12.5" x14ac:dyDescent="0.25">
      <c r="G743" s="7"/>
    </row>
    <row r="744" spans="7:7" ht="12.5" x14ac:dyDescent="0.25">
      <c r="G744" s="7"/>
    </row>
    <row r="745" spans="7:7" ht="12.5" x14ac:dyDescent="0.25">
      <c r="G745" s="7"/>
    </row>
    <row r="746" spans="7:7" ht="12.5" x14ac:dyDescent="0.25">
      <c r="G746" s="7"/>
    </row>
    <row r="747" spans="7:7" ht="12.5" x14ac:dyDescent="0.25">
      <c r="G747" s="7"/>
    </row>
    <row r="748" spans="7:7" ht="12.5" x14ac:dyDescent="0.25">
      <c r="G748" s="7"/>
    </row>
    <row r="749" spans="7:7" ht="12.5" x14ac:dyDescent="0.25">
      <c r="G749" s="7"/>
    </row>
    <row r="750" spans="7:7" ht="12.5" x14ac:dyDescent="0.25">
      <c r="G750" s="7"/>
    </row>
    <row r="751" spans="7:7" ht="12.5" x14ac:dyDescent="0.25">
      <c r="G751" s="7"/>
    </row>
    <row r="752" spans="7:7" ht="12.5" x14ac:dyDescent="0.25">
      <c r="G752" s="7"/>
    </row>
    <row r="753" spans="7:7" ht="12.5" x14ac:dyDescent="0.25">
      <c r="G753" s="7"/>
    </row>
    <row r="754" spans="7:7" ht="12.5" x14ac:dyDescent="0.25">
      <c r="G754" s="7"/>
    </row>
    <row r="755" spans="7:7" ht="12.5" x14ac:dyDescent="0.25">
      <c r="G755" s="7"/>
    </row>
    <row r="756" spans="7:7" ht="12.5" x14ac:dyDescent="0.25">
      <c r="G756" s="7"/>
    </row>
    <row r="757" spans="7:7" ht="12.5" x14ac:dyDescent="0.25">
      <c r="G757" s="7"/>
    </row>
    <row r="758" spans="7:7" ht="12.5" x14ac:dyDescent="0.25">
      <c r="G758" s="7"/>
    </row>
    <row r="759" spans="7:7" ht="12.5" x14ac:dyDescent="0.25">
      <c r="G759" s="7"/>
    </row>
    <row r="760" spans="7:7" ht="12.5" x14ac:dyDescent="0.25">
      <c r="G760" s="7"/>
    </row>
    <row r="761" spans="7:7" ht="12.5" x14ac:dyDescent="0.25">
      <c r="G761" s="7"/>
    </row>
    <row r="762" spans="7:7" ht="12.5" x14ac:dyDescent="0.25">
      <c r="G762" s="7"/>
    </row>
    <row r="763" spans="7:7" ht="12.5" x14ac:dyDescent="0.25">
      <c r="G763" s="7"/>
    </row>
    <row r="764" spans="7:7" ht="12.5" x14ac:dyDescent="0.25">
      <c r="G764" s="7"/>
    </row>
    <row r="765" spans="7:7" ht="12.5" x14ac:dyDescent="0.25">
      <c r="G765" s="7"/>
    </row>
    <row r="766" spans="7:7" ht="12.5" x14ac:dyDescent="0.25">
      <c r="G766" s="7"/>
    </row>
    <row r="767" spans="7:7" ht="12.5" x14ac:dyDescent="0.25">
      <c r="G767" s="7"/>
    </row>
    <row r="768" spans="7:7" ht="12.5" x14ac:dyDescent="0.25">
      <c r="G768" s="7"/>
    </row>
    <row r="769" spans="7:7" ht="12.5" x14ac:dyDescent="0.25">
      <c r="G769" s="7"/>
    </row>
    <row r="770" spans="7:7" ht="12.5" x14ac:dyDescent="0.25">
      <c r="G770" s="7"/>
    </row>
    <row r="771" spans="7:7" ht="12.5" x14ac:dyDescent="0.25">
      <c r="G771" s="7"/>
    </row>
    <row r="772" spans="7:7" ht="12.5" x14ac:dyDescent="0.25">
      <c r="G772" s="7"/>
    </row>
    <row r="773" spans="7:7" ht="12.5" x14ac:dyDescent="0.25">
      <c r="G773" s="7"/>
    </row>
    <row r="774" spans="7:7" ht="12.5" x14ac:dyDescent="0.25">
      <c r="G774" s="7"/>
    </row>
    <row r="775" spans="7:7" ht="12.5" x14ac:dyDescent="0.25">
      <c r="G775" s="7"/>
    </row>
    <row r="776" spans="7:7" ht="12.5" x14ac:dyDescent="0.25">
      <c r="G776" s="7"/>
    </row>
    <row r="777" spans="7:7" ht="12.5" x14ac:dyDescent="0.25">
      <c r="G777" s="7"/>
    </row>
    <row r="778" spans="7:7" ht="12.5" x14ac:dyDescent="0.25">
      <c r="G778" s="7"/>
    </row>
    <row r="779" spans="7:7" ht="12.5" x14ac:dyDescent="0.25">
      <c r="G779" s="7"/>
    </row>
    <row r="780" spans="7:7" ht="12.5" x14ac:dyDescent="0.25">
      <c r="G780" s="7"/>
    </row>
    <row r="781" spans="7:7" ht="12.5" x14ac:dyDescent="0.25">
      <c r="G781" s="7"/>
    </row>
    <row r="782" spans="7:7" ht="12.5" x14ac:dyDescent="0.25">
      <c r="G782" s="7"/>
    </row>
    <row r="783" spans="7:7" ht="12.5" x14ac:dyDescent="0.25">
      <c r="G783" s="7"/>
    </row>
    <row r="784" spans="7:7" ht="12.5" x14ac:dyDescent="0.25">
      <c r="G784" s="7"/>
    </row>
    <row r="785" spans="7:7" ht="12.5" x14ac:dyDescent="0.25">
      <c r="G785" s="7"/>
    </row>
    <row r="786" spans="7:7" ht="12.5" x14ac:dyDescent="0.25">
      <c r="G786" s="7"/>
    </row>
    <row r="787" spans="7:7" ht="12.5" x14ac:dyDescent="0.25">
      <c r="G787" s="7"/>
    </row>
    <row r="788" spans="7:7" ht="12.5" x14ac:dyDescent="0.25">
      <c r="G788" s="7"/>
    </row>
    <row r="789" spans="7:7" ht="12.5" x14ac:dyDescent="0.25">
      <c r="G789" s="7"/>
    </row>
    <row r="790" spans="7:7" ht="12.5" x14ac:dyDescent="0.25">
      <c r="G790" s="7"/>
    </row>
    <row r="791" spans="7:7" ht="12.5" x14ac:dyDescent="0.25">
      <c r="G791" s="7"/>
    </row>
    <row r="792" spans="7:7" ht="12.5" x14ac:dyDescent="0.25">
      <c r="G792" s="7"/>
    </row>
    <row r="793" spans="7:7" ht="12.5" x14ac:dyDescent="0.25">
      <c r="G793" s="7"/>
    </row>
    <row r="794" spans="7:7" ht="12.5" x14ac:dyDescent="0.25">
      <c r="G794" s="7"/>
    </row>
    <row r="795" spans="7:7" ht="12.5" x14ac:dyDescent="0.25">
      <c r="G795" s="7"/>
    </row>
    <row r="796" spans="7:7" ht="12.5" x14ac:dyDescent="0.25">
      <c r="G796" s="7"/>
    </row>
    <row r="797" spans="7:7" ht="12.5" x14ac:dyDescent="0.25">
      <c r="G797" s="7"/>
    </row>
    <row r="798" spans="7:7" ht="12.5" x14ac:dyDescent="0.25">
      <c r="G798" s="7"/>
    </row>
    <row r="799" spans="7:7" ht="12.5" x14ac:dyDescent="0.25">
      <c r="G799" s="7"/>
    </row>
    <row r="800" spans="7:7" ht="12.5" x14ac:dyDescent="0.25">
      <c r="G800" s="7"/>
    </row>
    <row r="801" spans="7:7" ht="12.5" x14ac:dyDescent="0.25">
      <c r="G801" s="7"/>
    </row>
    <row r="802" spans="7:7" ht="12.5" x14ac:dyDescent="0.25">
      <c r="G802" s="7"/>
    </row>
    <row r="803" spans="7:7" ht="12.5" x14ac:dyDescent="0.25">
      <c r="G803" s="7"/>
    </row>
    <row r="804" spans="7:7" ht="12.5" x14ac:dyDescent="0.25">
      <c r="G804" s="7"/>
    </row>
    <row r="805" spans="7:7" ht="12.5" x14ac:dyDescent="0.25">
      <c r="G805" s="7"/>
    </row>
    <row r="806" spans="7:7" ht="12.5" x14ac:dyDescent="0.25">
      <c r="G806" s="7"/>
    </row>
    <row r="807" spans="7:7" ht="12.5" x14ac:dyDescent="0.25">
      <c r="G807" s="7"/>
    </row>
    <row r="808" spans="7:7" ht="12.5" x14ac:dyDescent="0.25">
      <c r="G808" s="7"/>
    </row>
    <row r="809" spans="7:7" ht="12.5" x14ac:dyDescent="0.25">
      <c r="G809" s="7"/>
    </row>
    <row r="810" spans="7:7" ht="12.5" x14ac:dyDescent="0.25">
      <c r="G810" s="7"/>
    </row>
    <row r="811" spans="7:7" ht="12.5" x14ac:dyDescent="0.25">
      <c r="G811" s="7"/>
    </row>
    <row r="812" spans="7:7" ht="12.5" x14ac:dyDescent="0.25">
      <c r="G812" s="7"/>
    </row>
    <row r="813" spans="7:7" ht="12.5" x14ac:dyDescent="0.25">
      <c r="G813" s="7"/>
    </row>
    <row r="814" spans="7:7" ht="12.5" x14ac:dyDescent="0.25">
      <c r="G814" s="7"/>
    </row>
    <row r="815" spans="7:7" ht="12.5" x14ac:dyDescent="0.25">
      <c r="G815" s="7"/>
    </row>
    <row r="816" spans="7:7" ht="12.5" x14ac:dyDescent="0.25">
      <c r="G816" s="7"/>
    </row>
    <row r="817" spans="7:7" ht="12.5" x14ac:dyDescent="0.25">
      <c r="G817" s="7"/>
    </row>
    <row r="818" spans="7:7" ht="12.5" x14ac:dyDescent="0.25">
      <c r="G818" s="7"/>
    </row>
    <row r="819" spans="7:7" ht="12.5" x14ac:dyDescent="0.25">
      <c r="G819" s="7"/>
    </row>
    <row r="820" spans="7:7" ht="12.5" x14ac:dyDescent="0.25">
      <c r="G820" s="7"/>
    </row>
    <row r="821" spans="7:7" ht="12.5" x14ac:dyDescent="0.25">
      <c r="G821" s="7"/>
    </row>
    <row r="822" spans="7:7" ht="12.5" x14ac:dyDescent="0.25">
      <c r="G822" s="7"/>
    </row>
    <row r="823" spans="7:7" ht="12.5" x14ac:dyDescent="0.25">
      <c r="G823" s="7"/>
    </row>
    <row r="824" spans="7:7" ht="12.5" x14ac:dyDescent="0.25">
      <c r="G824" s="7"/>
    </row>
    <row r="825" spans="7:7" ht="12.5" x14ac:dyDescent="0.25">
      <c r="G825" s="7"/>
    </row>
    <row r="826" spans="7:7" ht="12.5" x14ac:dyDescent="0.25">
      <c r="G826" s="7"/>
    </row>
    <row r="827" spans="7:7" ht="12.5" x14ac:dyDescent="0.25">
      <c r="G827" s="7"/>
    </row>
    <row r="828" spans="7:7" ht="12.5" x14ac:dyDescent="0.25">
      <c r="G828" s="7"/>
    </row>
    <row r="829" spans="7:7" ht="12.5" x14ac:dyDescent="0.25">
      <c r="G829" s="7"/>
    </row>
    <row r="830" spans="7:7" ht="12.5" x14ac:dyDescent="0.25">
      <c r="G830" s="7"/>
    </row>
    <row r="831" spans="7:7" ht="12.5" x14ac:dyDescent="0.25">
      <c r="G831" s="7"/>
    </row>
    <row r="832" spans="7:7" ht="12.5" x14ac:dyDescent="0.25">
      <c r="G832" s="7"/>
    </row>
    <row r="833" spans="7:7" ht="12.5" x14ac:dyDescent="0.25">
      <c r="G833" s="7"/>
    </row>
    <row r="834" spans="7:7" ht="12.5" x14ac:dyDescent="0.25">
      <c r="G834" s="7"/>
    </row>
    <row r="835" spans="7:7" ht="12.5" x14ac:dyDescent="0.25">
      <c r="G835" s="7"/>
    </row>
    <row r="836" spans="7:7" ht="12.5" x14ac:dyDescent="0.25">
      <c r="G836" s="7"/>
    </row>
    <row r="837" spans="7:7" ht="12.5" x14ac:dyDescent="0.25">
      <c r="G837" s="7"/>
    </row>
    <row r="838" spans="7:7" ht="12.5" x14ac:dyDescent="0.25">
      <c r="G838" s="7"/>
    </row>
    <row r="839" spans="7:7" ht="12.5" x14ac:dyDescent="0.25">
      <c r="G839" s="7"/>
    </row>
    <row r="840" spans="7:7" ht="12.5" x14ac:dyDescent="0.25">
      <c r="G840" s="7"/>
    </row>
    <row r="841" spans="7:7" ht="12.5" x14ac:dyDescent="0.25">
      <c r="G841" s="7"/>
    </row>
    <row r="842" spans="7:7" ht="12.5" x14ac:dyDescent="0.25">
      <c r="G842" s="7"/>
    </row>
    <row r="843" spans="7:7" ht="12.5" x14ac:dyDescent="0.25">
      <c r="G843" s="7"/>
    </row>
    <row r="844" spans="7:7" ht="12.5" x14ac:dyDescent="0.25">
      <c r="G844" s="7"/>
    </row>
    <row r="845" spans="7:7" ht="12.5" x14ac:dyDescent="0.25">
      <c r="G845" s="7"/>
    </row>
    <row r="846" spans="7:7" ht="12.5" x14ac:dyDescent="0.25">
      <c r="G846" s="7"/>
    </row>
    <row r="847" spans="7:7" ht="12.5" x14ac:dyDescent="0.25">
      <c r="G847" s="7"/>
    </row>
    <row r="848" spans="7:7" ht="12.5" x14ac:dyDescent="0.25">
      <c r="G848" s="7"/>
    </row>
    <row r="849" spans="7:7" ht="12.5" x14ac:dyDescent="0.25">
      <c r="G849" s="7"/>
    </row>
    <row r="850" spans="7:7" ht="12.5" x14ac:dyDescent="0.25">
      <c r="G850" s="7"/>
    </row>
    <row r="851" spans="7:7" ht="12.5" x14ac:dyDescent="0.25">
      <c r="G851" s="7"/>
    </row>
    <row r="852" spans="7:7" ht="12.5" x14ac:dyDescent="0.25">
      <c r="G852" s="7"/>
    </row>
    <row r="853" spans="7:7" ht="12.5" x14ac:dyDescent="0.25">
      <c r="G853" s="7"/>
    </row>
    <row r="854" spans="7:7" ht="12.5" x14ac:dyDescent="0.25">
      <c r="G854" s="7"/>
    </row>
    <row r="855" spans="7:7" ht="12.5" x14ac:dyDescent="0.25">
      <c r="G855" s="7"/>
    </row>
    <row r="856" spans="7:7" ht="12.5" x14ac:dyDescent="0.25">
      <c r="G856" s="7"/>
    </row>
    <row r="857" spans="7:7" ht="12.5" x14ac:dyDescent="0.25">
      <c r="G857" s="7"/>
    </row>
    <row r="858" spans="7:7" ht="12.5" x14ac:dyDescent="0.25">
      <c r="G858" s="7"/>
    </row>
    <row r="859" spans="7:7" ht="12.5" x14ac:dyDescent="0.25">
      <c r="G859" s="7"/>
    </row>
    <row r="860" spans="7:7" ht="12.5" x14ac:dyDescent="0.25">
      <c r="G860" s="7"/>
    </row>
    <row r="861" spans="7:7" ht="12.5" x14ac:dyDescent="0.25">
      <c r="G861" s="7"/>
    </row>
    <row r="862" spans="7:7" ht="12.5" x14ac:dyDescent="0.25">
      <c r="G862" s="7"/>
    </row>
    <row r="863" spans="7:7" ht="12.5" x14ac:dyDescent="0.25">
      <c r="G863" s="7"/>
    </row>
    <row r="864" spans="7:7" ht="12.5" x14ac:dyDescent="0.25">
      <c r="G864" s="7"/>
    </row>
    <row r="865" spans="7:7" ht="12.5" x14ac:dyDescent="0.25">
      <c r="G865" s="7"/>
    </row>
    <row r="866" spans="7:7" ht="12.5" x14ac:dyDescent="0.25">
      <c r="G866" s="7"/>
    </row>
    <row r="867" spans="7:7" ht="12.5" x14ac:dyDescent="0.25">
      <c r="G867" s="7"/>
    </row>
    <row r="868" spans="7:7" ht="12.5" x14ac:dyDescent="0.25">
      <c r="G868" s="7"/>
    </row>
    <row r="869" spans="7:7" ht="12.5" x14ac:dyDescent="0.25">
      <c r="G869" s="7"/>
    </row>
    <row r="870" spans="7:7" ht="12.5" x14ac:dyDescent="0.25">
      <c r="G870" s="7"/>
    </row>
    <row r="871" spans="7:7" ht="12.5" x14ac:dyDescent="0.25">
      <c r="G871" s="7"/>
    </row>
    <row r="872" spans="7:7" ht="12.5" x14ac:dyDescent="0.25">
      <c r="G872" s="7"/>
    </row>
    <row r="873" spans="7:7" ht="12.5" x14ac:dyDescent="0.25">
      <c r="G873" s="7"/>
    </row>
    <row r="874" spans="7:7" ht="12.5" x14ac:dyDescent="0.25">
      <c r="G874" s="7"/>
    </row>
    <row r="875" spans="7:7" ht="12.5" x14ac:dyDescent="0.25">
      <c r="G875" s="7"/>
    </row>
    <row r="876" spans="7:7" ht="12.5" x14ac:dyDescent="0.25">
      <c r="G876" s="7"/>
    </row>
    <row r="877" spans="7:7" ht="12.5" x14ac:dyDescent="0.25">
      <c r="G877" s="7"/>
    </row>
    <row r="878" spans="7:7" ht="12.5" x14ac:dyDescent="0.25">
      <c r="G878" s="7"/>
    </row>
    <row r="879" spans="7:7" ht="12.5" x14ac:dyDescent="0.25">
      <c r="G879" s="7"/>
    </row>
    <row r="880" spans="7:7" ht="12.5" x14ac:dyDescent="0.25">
      <c r="G880" s="7"/>
    </row>
    <row r="881" spans="7:7" ht="12.5" x14ac:dyDescent="0.25">
      <c r="G881" s="7"/>
    </row>
    <row r="882" spans="7:7" ht="12.5" x14ac:dyDescent="0.25">
      <c r="G882" s="7"/>
    </row>
    <row r="883" spans="7:7" ht="12.5" x14ac:dyDescent="0.25">
      <c r="G883" s="7"/>
    </row>
    <row r="884" spans="7:7" ht="12.5" x14ac:dyDescent="0.25">
      <c r="G884" s="7"/>
    </row>
    <row r="885" spans="7:7" ht="12.5" x14ac:dyDescent="0.25">
      <c r="G885" s="7"/>
    </row>
    <row r="886" spans="7:7" ht="12.5" x14ac:dyDescent="0.25">
      <c r="G886" s="7"/>
    </row>
    <row r="887" spans="7:7" ht="12.5" x14ac:dyDescent="0.25">
      <c r="G887" s="7"/>
    </row>
    <row r="888" spans="7:7" ht="12.5" x14ac:dyDescent="0.25">
      <c r="G888" s="7"/>
    </row>
    <row r="889" spans="7:7" ht="12.5" x14ac:dyDescent="0.25">
      <c r="G889" s="7"/>
    </row>
    <row r="890" spans="7:7" ht="12.5" x14ac:dyDescent="0.25">
      <c r="G890" s="7"/>
    </row>
    <row r="891" spans="7:7" ht="12.5" x14ac:dyDescent="0.25">
      <c r="G891" s="7"/>
    </row>
    <row r="892" spans="7:7" ht="12.5" x14ac:dyDescent="0.25">
      <c r="G892" s="7"/>
    </row>
    <row r="893" spans="7:7" ht="12.5" x14ac:dyDescent="0.25">
      <c r="G893" s="7"/>
    </row>
    <row r="894" spans="7:7" ht="12.5" x14ac:dyDescent="0.25">
      <c r="G894" s="7"/>
    </row>
    <row r="895" spans="7:7" ht="12.5" x14ac:dyDescent="0.25">
      <c r="G895" s="7"/>
    </row>
    <row r="896" spans="7:7" ht="12.5" x14ac:dyDescent="0.25">
      <c r="G896" s="7"/>
    </row>
    <row r="897" spans="7:7" ht="12.5" x14ac:dyDescent="0.25">
      <c r="G897" s="7"/>
    </row>
    <row r="898" spans="7:7" ht="12.5" x14ac:dyDescent="0.25">
      <c r="G898" s="7"/>
    </row>
    <row r="899" spans="7:7" ht="12.5" x14ac:dyDescent="0.25">
      <c r="G899" s="7"/>
    </row>
    <row r="900" spans="7:7" ht="12.5" x14ac:dyDescent="0.25">
      <c r="G900" s="7"/>
    </row>
    <row r="901" spans="7:7" ht="12.5" x14ac:dyDescent="0.25">
      <c r="G901" s="7"/>
    </row>
    <row r="902" spans="7:7" ht="12.5" x14ac:dyDescent="0.25">
      <c r="G902" s="7"/>
    </row>
    <row r="903" spans="7:7" ht="12.5" x14ac:dyDescent="0.25">
      <c r="G903" s="7"/>
    </row>
    <row r="904" spans="7:7" ht="12.5" x14ac:dyDescent="0.25">
      <c r="G904" s="7"/>
    </row>
    <row r="905" spans="7:7" ht="12.5" x14ac:dyDescent="0.25">
      <c r="G905" s="7"/>
    </row>
    <row r="906" spans="7:7" ht="12.5" x14ac:dyDescent="0.25">
      <c r="G906" s="7"/>
    </row>
    <row r="907" spans="7:7" ht="12.5" x14ac:dyDescent="0.25">
      <c r="G907" s="7"/>
    </row>
    <row r="908" spans="7:7" ht="12.5" x14ac:dyDescent="0.25">
      <c r="G908" s="7"/>
    </row>
    <row r="909" spans="7:7" ht="12.5" x14ac:dyDescent="0.25">
      <c r="G909" s="7"/>
    </row>
    <row r="910" spans="7:7" ht="12.5" x14ac:dyDescent="0.25">
      <c r="G910" s="7"/>
    </row>
    <row r="911" spans="7:7" ht="12.5" x14ac:dyDescent="0.25">
      <c r="G911" s="7"/>
    </row>
    <row r="912" spans="7:7" ht="12.5" x14ac:dyDescent="0.25">
      <c r="G912" s="7"/>
    </row>
    <row r="913" spans="7:7" ht="12.5" x14ac:dyDescent="0.25">
      <c r="G913" s="7"/>
    </row>
    <row r="914" spans="7:7" ht="12.5" x14ac:dyDescent="0.25">
      <c r="G914" s="7"/>
    </row>
    <row r="915" spans="7:7" ht="12.5" x14ac:dyDescent="0.25">
      <c r="G915" s="7"/>
    </row>
    <row r="916" spans="7:7" ht="12.5" x14ac:dyDescent="0.25">
      <c r="G916" s="7"/>
    </row>
    <row r="917" spans="7:7" ht="12.5" x14ac:dyDescent="0.25">
      <c r="G917" s="7"/>
    </row>
    <row r="918" spans="7:7" ht="12.5" x14ac:dyDescent="0.25">
      <c r="G918" s="7"/>
    </row>
    <row r="919" spans="7:7" ht="12.5" x14ac:dyDescent="0.25">
      <c r="G919" s="7"/>
    </row>
    <row r="920" spans="7:7" ht="12.5" x14ac:dyDescent="0.25">
      <c r="G920" s="7"/>
    </row>
    <row r="921" spans="7:7" ht="12.5" x14ac:dyDescent="0.25">
      <c r="G921" s="7"/>
    </row>
    <row r="922" spans="7:7" ht="12.5" x14ac:dyDescent="0.25">
      <c r="G922" s="7"/>
    </row>
    <row r="923" spans="7:7" ht="12.5" x14ac:dyDescent="0.25">
      <c r="G923" s="7"/>
    </row>
    <row r="924" spans="7:7" ht="12.5" x14ac:dyDescent="0.25">
      <c r="G924" s="7"/>
    </row>
    <row r="925" spans="7:7" ht="12.5" x14ac:dyDescent="0.25">
      <c r="G925" s="7"/>
    </row>
    <row r="926" spans="7:7" ht="12.5" x14ac:dyDescent="0.25">
      <c r="G926" s="7"/>
    </row>
    <row r="927" spans="7:7" ht="12.5" x14ac:dyDescent="0.25">
      <c r="G927" s="7"/>
    </row>
    <row r="928" spans="7:7" ht="12.5" x14ac:dyDescent="0.25">
      <c r="G928" s="7"/>
    </row>
    <row r="929" spans="7:7" ht="12.5" x14ac:dyDescent="0.25">
      <c r="G929" s="7"/>
    </row>
    <row r="930" spans="7:7" ht="12.5" x14ac:dyDescent="0.25">
      <c r="G930" s="7"/>
    </row>
    <row r="931" spans="7:7" ht="12.5" x14ac:dyDescent="0.25">
      <c r="G931" s="7"/>
    </row>
    <row r="932" spans="7:7" ht="12.5" x14ac:dyDescent="0.25">
      <c r="G932" s="7"/>
    </row>
    <row r="933" spans="7:7" ht="12.5" x14ac:dyDescent="0.25">
      <c r="G933" s="7"/>
    </row>
    <row r="934" spans="7:7" ht="12.5" x14ac:dyDescent="0.25">
      <c r="G934" s="7"/>
    </row>
    <row r="935" spans="7:7" ht="12.5" x14ac:dyDescent="0.25">
      <c r="G935" s="7"/>
    </row>
    <row r="936" spans="7:7" ht="12.5" x14ac:dyDescent="0.25">
      <c r="G936" s="7"/>
    </row>
    <row r="937" spans="7:7" ht="12.5" x14ac:dyDescent="0.25">
      <c r="G937" s="7"/>
    </row>
    <row r="938" spans="7:7" ht="12.5" x14ac:dyDescent="0.25">
      <c r="G938" s="7"/>
    </row>
    <row r="939" spans="7:7" ht="12.5" x14ac:dyDescent="0.25">
      <c r="G939" s="7"/>
    </row>
    <row r="940" spans="7:7" ht="12.5" x14ac:dyDescent="0.25">
      <c r="G940" s="7"/>
    </row>
    <row r="941" spans="7:7" ht="12.5" x14ac:dyDescent="0.25">
      <c r="G941" s="7"/>
    </row>
    <row r="942" spans="7:7" ht="12.5" x14ac:dyDescent="0.25">
      <c r="G942" s="7"/>
    </row>
    <row r="943" spans="7:7" ht="12.5" x14ac:dyDescent="0.25">
      <c r="G943" s="7"/>
    </row>
    <row r="944" spans="7:7" ht="12.5" x14ac:dyDescent="0.25">
      <c r="G944" s="7"/>
    </row>
    <row r="945" spans="7:7" ht="12.5" x14ac:dyDescent="0.25">
      <c r="G945" s="7"/>
    </row>
    <row r="946" spans="7:7" ht="12.5" x14ac:dyDescent="0.25">
      <c r="G946" s="7"/>
    </row>
    <row r="947" spans="7:7" ht="12.5" x14ac:dyDescent="0.25">
      <c r="G947" s="7"/>
    </row>
    <row r="948" spans="7:7" ht="12.5" x14ac:dyDescent="0.25">
      <c r="G948" s="7"/>
    </row>
    <row r="949" spans="7:7" ht="12.5" x14ac:dyDescent="0.25">
      <c r="G949" s="7"/>
    </row>
    <row r="950" spans="7:7" ht="12.5" x14ac:dyDescent="0.25">
      <c r="G950" s="7"/>
    </row>
    <row r="951" spans="7:7" ht="12.5" x14ac:dyDescent="0.25">
      <c r="G951" s="7"/>
    </row>
    <row r="952" spans="7:7" ht="12.5" x14ac:dyDescent="0.25">
      <c r="G952" s="7"/>
    </row>
    <row r="953" spans="7:7" ht="12.5" x14ac:dyDescent="0.25">
      <c r="G953" s="7"/>
    </row>
    <row r="954" spans="7:7" ht="12.5" x14ac:dyDescent="0.25">
      <c r="G954" s="7"/>
    </row>
    <row r="955" spans="7:7" ht="12.5" x14ac:dyDescent="0.25">
      <c r="G955" s="7"/>
    </row>
    <row r="956" spans="7:7" ht="12.5" x14ac:dyDescent="0.25">
      <c r="G956" s="7"/>
    </row>
    <row r="957" spans="7:7" ht="12.5" x14ac:dyDescent="0.25">
      <c r="G957" s="7"/>
    </row>
    <row r="958" spans="7:7" ht="12.5" x14ac:dyDescent="0.25">
      <c r="G958" s="7"/>
    </row>
    <row r="959" spans="7:7" ht="12.5" x14ac:dyDescent="0.25">
      <c r="G959" s="7"/>
    </row>
    <row r="960" spans="7:7" ht="12.5" x14ac:dyDescent="0.25">
      <c r="G960" s="7"/>
    </row>
    <row r="961" spans="7:7" ht="12.5" x14ac:dyDescent="0.25">
      <c r="G961" s="7"/>
    </row>
    <row r="962" spans="7:7" ht="12.5" x14ac:dyDescent="0.25">
      <c r="G962" s="7"/>
    </row>
    <row r="963" spans="7:7" ht="12.5" x14ac:dyDescent="0.25">
      <c r="G963" s="7"/>
    </row>
    <row r="964" spans="7:7" ht="12.5" x14ac:dyDescent="0.25">
      <c r="G964" s="7"/>
    </row>
    <row r="965" spans="7:7" ht="12.5" x14ac:dyDescent="0.25">
      <c r="G965" s="7"/>
    </row>
    <row r="966" spans="7:7" ht="12.5" x14ac:dyDescent="0.25">
      <c r="G966" s="7"/>
    </row>
    <row r="967" spans="7:7" ht="12.5" x14ac:dyDescent="0.25">
      <c r="G967" s="7"/>
    </row>
    <row r="968" spans="7:7" ht="12.5" x14ac:dyDescent="0.25">
      <c r="G968" s="7"/>
    </row>
    <row r="969" spans="7:7" ht="12.5" x14ac:dyDescent="0.25">
      <c r="G969" s="7"/>
    </row>
    <row r="970" spans="7:7" ht="12.5" x14ac:dyDescent="0.25">
      <c r="G970" s="7"/>
    </row>
    <row r="971" spans="7:7" ht="12.5" x14ac:dyDescent="0.25">
      <c r="G971" s="7"/>
    </row>
    <row r="972" spans="7:7" ht="12.5" x14ac:dyDescent="0.25">
      <c r="G972" s="7"/>
    </row>
    <row r="973" spans="7:7" ht="12.5" x14ac:dyDescent="0.25">
      <c r="G973" s="7"/>
    </row>
    <row r="974" spans="7:7" ht="12.5" x14ac:dyDescent="0.25">
      <c r="G974" s="7"/>
    </row>
    <row r="975" spans="7:7" ht="12.5" x14ac:dyDescent="0.25">
      <c r="G975" s="7"/>
    </row>
    <row r="976" spans="7:7" ht="12.5" x14ac:dyDescent="0.25">
      <c r="G976" s="7"/>
    </row>
    <row r="977" spans="7:7" ht="12.5" x14ac:dyDescent="0.25">
      <c r="G977" s="7"/>
    </row>
    <row r="978" spans="7:7" ht="12.5" x14ac:dyDescent="0.25">
      <c r="G978" s="7"/>
    </row>
    <row r="979" spans="7:7" ht="12.5" x14ac:dyDescent="0.25">
      <c r="G979" s="7"/>
    </row>
    <row r="980" spans="7:7" ht="12.5" x14ac:dyDescent="0.25">
      <c r="G980" s="7"/>
    </row>
    <row r="981" spans="7:7" ht="12.5" x14ac:dyDescent="0.25">
      <c r="G981" s="7"/>
    </row>
    <row r="982" spans="7:7" ht="12.5" x14ac:dyDescent="0.25">
      <c r="G982" s="7"/>
    </row>
    <row r="983" spans="7:7" ht="12.5" x14ac:dyDescent="0.25">
      <c r="G983" s="7"/>
    </row>
    <row r="984" spans="7:7" ht="12.5" x14ac:dyDescent="0.25">
      <c r="G984" s="7"/>
    </row>
    <row r="985" spans="7:7" ht="12.5" x14ac:dyDescent="0.25">
      <c r="G985" s="7"/>
    </row>
    <row r="986" spans="7:7" ht="12.5" x14ac:dyDescent="0.25">
      <c r="G986" s="7"/>
    </row>
    <row r="987" spans="7:7" ht="12.5" x14ac:dyDescent="0.25">
      <c r="G987" s="7"/>
    </row>
    <row r="988" spans="7:7" ht="12.5" x14ac:dyDescent="0.25">
      <c r="G988" s="7"/>
    </row>
    <row r="989" spans="7:7" ht="12.5" x14ac:dyDescent="0.25">
      <c r="G989" s="7"/>
    </row>
    <row r="990" spans="7:7" ht="12.5" x14ac:dyDescent="0.25">
      <c r="G990" s="7"/>
    </row>
    <row r="991" spans="7:7" ht="12.5" x14ac:dyDescent="0.25">
      <c r="G991" s="7"/>
    </row>
    <row r="992" spans="7:7" ht="12.5" x14ac:dyDescent="0.25">
      <c r="G992" s="7"/>
    </row>
    <row r="993" spans="7:7" ht="12.5" x14ac:dyDescent="0.25">
      <c r="G993" s="7"/>
    </row>
    <row r="994" spans="7:7" ht="12.5" x14ac:dyDescent="0.25">
      <c r="G994" s="7"/>
    </row>
    <row r="995" spans="7:7" ht="12.5" x14ac:dyDescent="0.25">
      <c r="G995" s="7"/>
    </row>
    <row r="996" spans="7:7" ht="12.5" x14ac:dyDescent="0.25">
      <c r="G996" s="7"/>
    </row>
    <row r="997" spans="7:7" ht="12.5" x14ac:dyDescent="0.25">
      <c r="G997" s="7"/>
    </row>
    <row r="998" spans="7:7" ht="12.5" x14ac:dyDescent="0.25">
      <c r="G998" s="7"/>
    </row>
    <row r="999" spans="7:7" ht="12.5" x14ac:dyDescent="0.25">
      <c r="G999" s="7"/>
    </row>
    <row r="1000" spans="7:7" ht="12.5" x14ac:dyDescent="0.25">
      <c r="G100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6A70C-417B-428A-B8A0-7AB89F273B7A}">
  <dimension ref="A1:G17"/>
  <sheetViews>
    <sheetView tabSelected="1" workbookViewId="0">
      <selection activeCell="B14" sqref="B14"/>
    </sheetView>
  </sheetViews>
  <sheetFormatPr defaultRowHeight="12.5" x14ac:dyDescent="0.25"/>
  <cols>
    <col min="1" max="1" width="28.90625" bestFit="1" customWidth="1"/>
    <col min="2" max="2" width="15.90625" bestFit="1" customWidth="1"/>
    <col min="3" max="3" width="10.1796875" bestFit="1" customWidth="1"/>
    <col min="4" max="4" width="7.08984375" bestFit="1" customWidth="1"/>
    <col min="5" max="5" width="16.08984375" customWidth="1"/>
    <col min="6" max="6" width="10.1796875" bestFit="1" customWidth="1"/>
    <col min="7" max="7" width="7.08984375" bestFit="1" customWidth="1"/>
  </cols>
  <sheetData>
    <row r="1" spans="1:7" x14ac:dyDescent="0.25">
      <c r="C1" s="9" t="s">
        <v>3</v>
      </c>
      <c r="D1" s="10">
        <v>2021</v>
      </c>
      <c r="F1" s="9" t="s">
        <v>3</v>
      </c>
      <c r="G1" s="10">
        <v>2021</v>
      </c>
    </row>
    <row r="3" spans="1:7" x14ac:dyDescent="0.25">
      <c r="A3" s="9" t="s">
        <v>324</v>
      </c>
      <c r="C3" s="9" t="s">
        <v>330</v>
      </c>
      <c r="F3" s="9" t="s">
        <v>331</v>
      </c>
    </row>
    <row r="4" spans="1:7" x14ac:dyDescent="0.25">
      <c r="A4" s="10">
        <v>1</v>
      </c>
      <c r="C4" s="10">
        <v>514</v>
      </c>
      <c r="F4" s="10" t="s">
        <v>18</v>
      </c>
    </row>
    <row r="5" spans="1:7" x14ac:dyDescent="0.25">
      <c r="A5" s="10">
        <v>2</v>
      </c>
      <c r="C5" s="10">
        <v>527</v>
      </c>
      <c r="F5" s="10" t="s">
        <v>45</v>
      </c>
    </row>
    <row r="6" spans="1:7" x14ac:dyDescent="0.25">
      <c r="A6" s="10">
        <v>3</v>
      </c>
      <c r="C6" s="10">
        <v>549</v>
      </c>
      <c r="F6" s="10" t="s">
        <v>10</v>
      </c>
    </row>
    <row r="7" spans="1:7" x14ac:dyDescent="0.25">
      <c r="A7" s="10">
        <v>4</v>
      </c>
      <c r="C7" s="10">
        <v>562</v>
      </c>
      <c r="F7" s="10" t="s">
        <v>32</v>
      </c>
    </row>
    <row r="8" spans="1:7" x14ac:dyDescent="0.25">
      <c r="A8" s="10">
        <v>5</v>
      </c>
      <c r="C8" s="10">
        <v>623</v>
      </c>
    </row>
    <row r="9" spans="1:7" x14ac:dyDescent="0.25">
      <c r="A9" s="10">
        <v>6</v>
      </c>
    </row>
    <row r="10" spans="1:7" x14ac:dyDescent="0.25">
      <c r="A10" s="10">
        <v>7</v>
      </c>
    </row>
    <row r="11" spans="1:7" x14ac:dyDescent="0.25">
      <c r="A11" s="11">
        <v>101</v>
      </c>
    </row>
    <row r="12" spans="1:7" x14ac:dyDescent="0.25">
      <c r="A12" s="11">
        <v>102</v>
      </c>
    </row>
    <row r="13" spans="1:7" x14ac:dyDescent="0.25">
      <c r="A13" s="11">
        <v>104</v>
      </c>
    </row>
    <row r="14" spans="1:7" x14ac:dyDescent="0.25">
      <c r="A14" s="11">
        <v>106</v>
      </c>
    </row>
    <row r="15" spans="1:7" x14ac:dyDescent="0.25">
      <c r="A15" s="11">
        <v>111</v>
      </c>
    </row>
    <row r="16" spans="1:7" x14ac:dyDescent="0.25">
      <c r="A16" s="11">
        <v>114</v>
      </c>
    </row>
    <row r="17" spans="1:1" x14ac:dyDescent="0.25">
      <c r="A17" s="11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7DA25-981E-4186-91DD-9951C8851022}">
  <dimension ref="A1:T501"/>
  <sheetViews>
    <sheetView workbookViewId="0">
      <selection activeCell="T2" sqref="T2"/>
    </sheetView>
  </sheetViews>
  <sheetFormatPr defaultRowHeight="12.5" x14ac:dyDescent="0.25"/>
  <cols>
    <col min="1" max="1" width="9.08984375" bestFit="1" customWidth="1"/>
    <col min="2" max="2" width="12.90625" bestFit="1" customWidth="1"/>
    <col min="3" max="3" width="8" bestFit="1" customWidth="1"/>
    <col min="4" max="4" width="10.7265625" bestFit="1" customWidth="1"/>
    <col min="5" max="5" width="22.6328125" bestFit="1" customWidth="1"/>
    <col min="6" max="6" width="6.90625" bestFit="1" customWidth="1"/>
    <col min="7" max="7" width="10.81640625" bestFit="1" customWidth="1"/>
    <col min="8" max="8" width="10.08984375" bestFit="1" customWidth="1"/>
    <col min="9" max="9" width="18.6328125" bestFit="1" customWidth="1"/>
    <col min="10" max="10" width="19.81640625" bestFit="1" customWidth="1"/>
    <col min="11" max="11" width="25.36328125" bestFit="1" customWidth="1"/>
    <col min="12" max="12" width="24.453125" bestFit="1" customWidth="1"/>
    <col min="13" max="13" width="15.90625" bestFit="1" customWidth="1"/>
    <col min="14" max="14" width="16.26953125" bestFit="1" customWidth="1"/>
    <col min="15" max="15" width="18.6328125" bestFit="1" customWidth="1"/>
    <col min="16" max="16" width="17.36328125" bestFit="1" customWidth="1"/>
    <col min="17" max="17" width="35.26953125" bestFit="1" customWidth="1"/>
    <col min="18" max="18" width="20.90625" bestFit="1" customWidth="1"/>
    <col min="19" max="19" width="18.6328125" bestFit="1" customWidth="1"/>
    <col min="20" max="20" width="16.6328125" bestFit="1" customWidth="1"/>
  </cols>
  <sheetData>
    <row r="1" spans="1:20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8" t="s">
        <v>317</v>
      </c>
      <c r="J1" s="8" t="s">
        <v>318</v>
      </c>
      <c r="K1" s="8" t="s">
        <v>319</v>
      </c>
      <c r="L1" s="8" t="s">
        <v>320</v>
      </c>
      <c r="M1" s="8" t="s">
        <v>321</v>
      </c>
      <c r="N1" s="8" t="s">
        <v>322</v>
      </c>
      <c r="O1" s="8" t="s">
        <v>323</v>
      </c>
      <c r="P1" s="8" t="s">
        <v>325</v>
      </c>
      <c r="Q1" s="8" t="s">
        <v>326</v>
      </c>
      <c r="R1" s="8" t="s">
        <v>327</v>
      </c>
      <c r="S1" s="8" t="s">
        <v>328</v>
      </c>
      <c r="T1" s="8" t="s">
        <v>329</v>
      </c>
    </row>
    <row r="2" spans="1:20" ht="14.5" x14ac:dyDescent="0.35">
      <c r="A2" s="12">
        <v>1</v>
      </c>
      <c r="B2" s="13" t="s">
        <v>8</v>
      </c>
      <c r="C2" s="12">
        <v>623</v>
      </c>
      <c r="D2" s="12">
        <v>2021</v>
      </c>
      <c r="E2" s="13" t="s">
        <v>9</v>
      </c>
      <c r="F2" s="13" t="s">
        <v>10</v>
      </c>
      <c r="G2" s="14">
        <v>44207</v>
      </c>
      <c r="H2" s="12">
        <v>102</v>
      </c>
      <c r="I2" t="str" cm="1">
        <f t="array" ref="I2:I501">VLOOKUP(H2:H501,[1]Locations!$A:$B,2,FALSE)</f>
        <v>Auckland</v>
      </c>
      <c r="J2" t="str" cm="1">
        <f t="array" ref="J2:J501">VLOOKUP(H2:H501,[1]Locations!$A:$C,3,FALSE)</f>
        <v>New Zealand</v>
      </c>
      <c r="K2" t="str" cm="1">
        <f t="array" ref="K2:K501">VLOOKUP(C2:C501,[2]Make_Details!$A:$B,2,FALSE)</f>
        <v>Trailer</v>
      </c>
      <c r="L2" t="str" cm="1">
        <f t="array" ref="L2:L501">VLOOKUP(C2:C501,[3]Make_Details!$A:$C,3,FALSE)</f>
        <v>Standard</v>
      </c>
      <c r="M2" t="str">
        <f>VLOOKUP(250,A2:B501,2,FALSE)</f>
        <v>Trailer</v>
      </c>
      <c r="N2" t="str">
        <f>_xlfn.XLOOKUP(623,C2:C501,F2:F501)</f>
        <v>Silver</v>
      </c>
      <c r="O2" t="str">
        <f>INDEX(E2:E501,MATCH(300,A2:A501))</f>
        <v>HANSA CHIPPER</v>
      </c>
      <c r="P2">
        <f>COUNTIFS($G$2:$G$501,G2,$K$2:$K$501,K2)</f>
        <v>5</v>
      </c>
      <c r="Q2">
        <f>_xlfn.XLOOKUP(MAX(P2:P501),P2:P501,H2:H501,FALSE)</f>
        <v>114</v>
      </c>
      <c r="R2">
        <f>INDEX(H:H,MATCH(MAX(P:P),P2:P501))</f>
        <v>114</v>
      </c>
      <c r="S2">
        <f>INDEX(C2:C501,MATCH(2021,D2:D501))</f>
        <v>623</v>
      </c>
      <c r="T2" t="str">
        <f>INDEX(F2:F501,MATCH(2021,D2:D501))</f>
        <v>Silver</v>
      </c>
    </row>
    <row r="3" spans="1:20" ht="14.5" x14ac:dyDescent="0.35">
      <c r="A3" s="12">
        <v>2</v>
      </c>
      <c r="B3" s="13" t="s">
        <v>11</v>
      </c>
      <c r="C3" s="12">
        <v>623</v>
      </c>
      <c r="D3" s="12">
        <v>2021</v>
      </c>
      <c r="E3" s="13" t="s">
        <v>12</v>
      </c>
      <c r="F3" s="13" t="s">
        <v>10</v>
      </c>
      <c r="G3" s="14">
        <v>44207</v>
      </c>
      <c r="H3" s="12">
        <v>105</v>
      </c>
      <c r="I3" t="str">
        <v>Gisborne</v>
      </c>
      <c r="J3" t="str">
        <v>New Zealand</v>
      </c>
      <c r="K3" t="str">
        <v>Trailer</v>
      </c>
      <c r="L3" t="str">
        <v>Standard</v>
      </c>
      <c r="P3">
        <f t="shared" ref="P3:P66" si="0">COUNTIFS($G$2:$G$501,G3,$K$2:$K$501,K3)</f>
        <v>5</v>
      </c>
    </row>
    <row r="4" spans="1:20" ht="14.5" x14ac:dyDescent="0.35">
      <c r="A4" s="12">
        <v>3</v>
      </c>
      <c r="B4" s="13" t="s">
        <v>11</v>
      </c>
      <c r="C4" s="12">
        <v>623</v>
      </c>
      <c r="D4" s="12">
        <v>2021</v>
      </c>
      <c r="E4" s="13" t="s">
        <v>13</v>
      </c>
      <c r="F4" s="13" t="s">
        <v>10</v>
      </c>
      <c r="G4" s="14">
        <v>44207</v>
      </c>
      <c r="H4" s="12">
        <v>102</v>
      </c>
      <c r="I4" t="str">
        <v>Auckland</v>
      </c>
      <c r="J4" t="str">
        <v>New Zealand</v>
      </c>
      <c r="K4" t="str">
        <v>Trailer</v>
      </c>
      <c r="L4" t="str">
        <v>Standard</v>
      </c>
      <c r="P4">
        <f t="shared" si="0"/>
        <v>5</v>
      </c>
    </row>
    <row r="5" spans="1:20" ht="14.5" x14ac:dyDescent="0.35">
      <c r="A5" s="12">
        <v>4</v>
      </c>
      <c r="B5" s="13" t="s">
        <v>8</v>
      </c>
      <c r="C5" s="12">
        <v>623</v>
      </c>
      <c r="D5" s="12">
        <v>2021</v>
      </c>
      <c r="E5" s="13" t="s">
        <v>14</v>
      </c>
      <c r="F5" s="13" t="s">
        <v>10</v>
      </c>
      <c r="G5" s="14">
        <v>44207</v>
      </c>
      <c r="H5" s="12">
        <v>106</v>
      </c>
      <c r="I5" t="str">
        <v>Hawke's Bay</v>
      </c>
      <c r="J5" t="str">
        <v>New Zealand</v>
      </c>
      <c r="K5" t="str">
        <v>Trailer</v>
      </c>
      <c r="L5" t="str">
        <v>Standard</v>
      </c>
      <c r="P5">
        <f t="shared" si="0"/>
        <v>5</v>
      </c>
    </row>
    <row r="6" spans="1:20" ht="14.5" x14ac:dyDescent="0.35">
      <c r="A6" s="12">
        <v>5</v>
      </c>
      <c r="B6" s="13" t="s">
        <v>8</v>
      </c>
      <c r="C6" s="12">
        <v>623</v>
      </c>
      <c r="D6" s="12">
        <v>2018</v>
      </c>
      <c r="E6" s="13" t="s">
        <v>15</v>
      </c>
      <c r="F6" s="13" t="s">
        <v>10</v>
      </c>
      <c r="G6" s="14">
        <v>44207</v>
      </c>
      <c r="H6" s="12">
        <v>102</v>
      </c>
      <c r="I6" t="str">
        <v>Auckland</v>
      </c>
      <c r="J6" t="str">
        <v>New Zealand</v>
      </c>
      <c r="K6" t="str">
        <v>Trailer</v>
      </c>
      <c r="L6" t="str">
        <v>Standard</v>
      </c>
      <c r="P6">
        <f t="shared" si="0"/>
        <v>5</v>
      </c>
    </row>
    <row r="7" spans="1:20" ht="14.5" x14ac:dyDescent="0.35">
      <c r="A7" s="12">
        <v>6</v>
      </c>
      <c r="B7" s="13" t="s">
        <v>16</v>
      </c>
      <c r="C7" s="12">
        <v>636</v>
      </c>
      <c r="D7" s="12">
        <v>2005</v>
      </c>
      <c r="E7" s="13" t="s">
        <v>17</v>
      </c>
      <c r="F7" s="13" t="s">
        <v>18</v>
      </c>
      <c r="G7" s="14">
        <v>44207</v>
      </c>
      <c r="H7" s="12">
        <v>102</v>
      </c>
      <c r="I7" t="str">
        <v>Auckland</v>
      </c>
      <c r="J7" t="str">
        <v>New Zealand</v>
      </c>
      <c r="K7" t="str">
        <v>Yamaha</v>
      </c>
      <c r="L7" t="str">
        <v>Standard</v>
      </c>
      <c r="P7">
        <f t="shared" si="0"/>
        <v>1</v>
      </c>
    </row>
    <row r="8" spans="1:20" ht="14.5" x14ac:dyDescent="0.35">
      <c r="A8" s="12">
        <v>7</v>
      </c>
      <c r="B8" s="13" t="s">
        <v>8</v>
      </c>
      <c r="C8" s="12">
        <v>623</v>
      </c>
      <c r="D8" s="12">
        <v>2021</v>
      </c>
      <c r="E8" s="13" t="s">
        <v>19</v>
      </c>
      <c r="F8" s="13" t="s">
        <v>10</v>
      </c>
      <c r="G8" s="14">
        <v>44208</v>
      </c>
      <c r="H8" s="12">
        <v>114</v>
      </c>
      <c r="I8" t="str">
        <v>Canterbury</v>
      </c>
      <c r="J8" t="str">
        <v>New Zealand</v>
      </c>
      <c r="K8" t="str">
        <v>Trailer</v>
      </c>
      <c r="L8" t="str">
        <v>Standard</v>
      </c>
      <c r="P8">
        <f t="shared" si="0"/>
        <v>2</v>
      </c>
    </row>
    <row r="9" spans="1:20" ht="14.5" x14ac:dyDescent="0.35">
      <c r="A9" s="12">
        <v>8</v>
      </c>
      <c r="B9" s="13" t="s">
        <v>11</v>
      </c>
      <c r="C9" s="12">
        <v>623</v>
      </c>
      <c r="D9" s="12">
        <v>2001</v>
      </c>
      <c r="E9" s="13" t="s">
        <v>20</v>
      </c>
      <c r="F9" s="13" t="s">
        <v>10</v>
      </c>
      <c r="G9" s="14">
        <v>44208</v>
      </c>
      <c r="H9" s="12">
        <v>109</v>
      </c>
      <c r="I9" t="str">
        <v>Wellington</v>
      </c>
      <c r="J9" t="str">
        <v>New Zealand</v>
      </c>
      <c r="K9" t="str">
        <v>Trailer</v>
      </c>
      <c r="L9" t="str">
        <v>Standard</v>
      </c>
      <c r="P9">
        <f t="shared" si="0"/>
        <v>2</v>
      </c>
    </row>
    <row r="10" spans="1:20" ht="14.5" x14ac:dyDescent="0.35">
      <c r="A10" s="12">
        <v>9</v>
      </c>
      <c r="B10" s="13" t="s">
        <v>8</v>
      </c>
      <c r="C10" s="12">
        <v>514</v>
      </c>
      <c r="D10" s="12">
        <v>2021</v>
      </c>
      <c r="E10" s="13" t="s">
        <v>21</v>
      </c>
      <c r="F10" s="13" t="s">
        <v>10</v>
      </c>
      <c r="G10" s="14">
        <v>44238</v>
      </c>
      <c r="H10" s="12">
        <v>115</v>
      </c>
      <c r="I10" t="str">
        <v>Otago</v>
      </c>
      <c r="J10" t="str">
        <v>New Zealand</v>
      </c>
      <c r="K10" t="str">
        <v>Briford</v>
      </c>
      <c r="L10" t="str">
        <v>Standard</v>
      </c>
      <c r="P10">
        <f t="shared" si="0"/>
        <v>1</v>
      </c>
    </row>
    <row r="11" spans="1:20" ht="14.5" x14ac:dyDescent="0.35">
      <c r="A11" s="12">
        <v>10</v>
      </c>
      <c r="B11" s="13" t="s">
        <v>8</v>
      </c>
      <c r="C11" s="12">
        <v>514</v>
      </c>
      <c r="D11" s="12">
        <v>2020</v>
      </c>
      <c r="E11" s="13" t="s">
        <v>22</v>
      </c>
      <c r="F11" s="13" t="s">
        <v>10</v>
      </c>
      <c r="G11" s="14">
        <v>44239</v>
      </c>
      <c r="H11" s="12">
        <v>114</v>
      </c>
      <c r="I11" t="str">
        <v>Canterbury</v>
      </c>
      <c r="J11" t="str">
        <v>New Zealand</v>
      </c>
      <c r="K11" t="str">
        <v>Briford</v>
      </c>
      <c r="L11" t="str">
        <v>Standard</v>
      </c>
      <c r="P11">
        <f t="shared" si="0"/>
        <v>1</v>
      </c>
    </row>
    <row r="12" spans="1:20" ht="14.5" x14ac:dyDescent="0.35">
      <c r="A12" s="12">
        <v>11</v>
      </c>
      <c r="B12" s="13" t="s">
        <v>8</v>
      </c>
      <c r="C12" s="12">
        <v>623</v>
      </c>
      <c r="D12" s="12">
        <v>2018</v>
      </c>
      <c r="E12" s="13" t="s">
        <v>23</v>
      </c>
      <c r="F12" s="13" t="s">
        <v>10</v>
      </c>
      <c r="G12" s="14">
        <v>44239</v>
      </c>
      <c r="H12" s="12">
        <v>108</v>
      </c>
      <c r="I12" t="str">
        <v>Manawatū-Whanganui</v>
      </c>
      <c r="J12" t="str">
        <v>New Zealand</v>
      </c>
      <c r="K12" t="str">
        <v>Trailer</v>
      </c>
      <c r="L12" t="str">
        <v>Standard</v>
      </c>
      <c r="P12">
        <f t="shared" si="0"/>
        <v>1</v>
      </c>
    </row>
    <row r="13" spans="1:20" ht="14.5" x14ac:dyDescent="0.35">
      <c r="A13" s="12">
        <v>12</v>
      </c>
      <c r="B13" s="13" t="s">
        <v>8</v>
      </c>
      <c r="C13" s="12">
        <v>538</v>
      </c>
      <c r="D13" s="12">
        <v>2018</v>
      </c>
      <c r="E13" s="13" t="s">
        <v>24</v>
      </c>
      <c r="F13" s="13" t="s">
        <v>10</v>
      </c>
      <c r="G13" s="14">
        <v>44266</v>
      </c>
      <c r="H13" s="12">
        <v>102</v>
      </c>
      <c r="I13" t="str">
        <v>Auckland</v>
      </c>
      <c r="J13" t="str">
        <v>New Zealand</v>
      </c>
      <c r="K13" t="str">
        <v>Factory Built</v>
      </c>
      <c r="L13" t="str">
        <v>Standard</v>
      </c>
      <c r="P13">
        <f t="shared" si="0"/>
        <v>1</v>
      </c>
    </row>
    <row r="14" spans="1:20" ht="14.5" x14ac:dyDescent="0.35">
      <c r="A14" s="12">
        <v>13</v>
      </c>
      <c r="B14" s="13" t="s">
        <v>25</v>
      </c>
      <c r="C14" s="12">
        <v>629</v>
      </c>
      <c r="D14" s="12">
        <v>2004</v>
      </c>
      <c r="E14" s="13" t="s">
        <v>26</v>
      </c>
      <c r="F14" s="13" t="s">
        <v>18</v>
      </c>
      <c r="G14" s="14">
        <v>44267</v>
      </c>
      <c r="H14" s="12">
        <v>102</v>
      </c>
      <c r="I14" t="str">
        <v>Auckland</v>
      </c>
      <c r="J14" t="str">
        <v>New Zealand</v>
      </c>
      <c r="K14" t="str">
        <v>Vespa</v>
      </c>
      <c r="L14" t="str">
        <v>Standard</v>
      </c>
      <c r="P14">
        <f t="shared" si="0"/>
        <v>1</v>
      </c>
    </row>
    <row r="15" spans="1:20" ht="14.5" x14ac:dyDescent="0.35">
      <c r="A15" s="12">
        <v>14</v>
      </c>
      <c r="B15" s="13" t="s">
        <v>25</v>
      </c>
      <c r="C15" s="12">
        <v>550</v>
      </c>
      <c r="D15" s="12">
        <v>2007</v>
      </c>
      <c r="E15" s="13" t="s">
        <v>27</v>
      </c>
      <c r="F15" s="13" t="s">
        <v>28</v>
      </c>
      <c r="G15" s="14">
        <v>44267</v>
      </c>
      <c r="H15" s="12">
        <v>102</v>
      </c>
      <c r="I15" t="str">
        <v>Auckland</v>
      </c>
      <c r="J15" t="str">
        <v>New Zealand</v>
      </c>
      <c r="K15" t="str">
        <v>Honda</v>
      </c>
      <c r="L15" t="str">
        <v>Standard</v>
      </c>
      <c r="P15">
        <f t="shared" si="0"/>
        <v>1</v>
      </c>
    </row>
    <row r="16" spans="1:20" ht="14.5" x14ac:dyDescent="0.35">
      <c r="A16" s="12">
        <v>15</v>
      </c>
      <c r="B16" s="13" t="s">
        <v>16</v>
      </c>
      <c r="C16" s="12">
        <v>611</v>
      </c>
      <c r="D16" s="12">
        <v>2007</v>
      </c>
      <c r="E16" s="13" t="s">
        <v>29</v>
      </c>
      <c r="F16" s="13" t="s">
        <v>18</v>
      </c>
      <c r="G16" s="14">
        <v>44267</v>
      </c>
      <c r="H16" s="12">
        <v>101</v>
      </c>
      <c r="I16" t="str">
        <v>Northland</v>
      </c>
      <c r="J16" t="str">
        <v>New Zealand</v>
      </c>
      <c r="K16" t="str">
        <v>Suzuki</v>
      </c>
      <c r="L16" t="str">
        <v>Standard</v>
      </c>
      <c r="P16">
        <f t="shared" si="0"/>
        <v>1</v>
      </c>
    </row>
    <row r="17" spans="1:16" ht="14.5" x14ac:dyDescent="0.35">
      <c r="A17" s="12">
        <v>16</v>
      </c>
      <c r="B17" s="13" t="s">
        <v>8</v>
      </c>
      <c r="C17" s="12">
        <v>623</v>
      </c>
      <c r="D17" s="12">
        <v>2021</v>
      </c>
      <c r="E17" s="13" t="s">
        <v>30</v>
      </c>
      <c r="F17" s="13" t="s">
        <v>10</v>
      </c>
      <c r="G17" s="14">
        <v>44267</v>
      </c>
      <c r="H17" s="12">
        <v>109</v>
      </c>
      <c r="I17" t="str">
        <v>Wellington</v>
      </c>
      <c r="J17" t="str">
        <v>New Zealand</v>
      </c>
      <c r="K17" t="str">
        <v>Trailer</v>
      </c>
      <c r="L17" t="str">
        <v>Standard</v>
      </c>
      <c r="P17">
        <f t="shared" si="0"/>
        <v>1</v>
      </c>
    </row>
    <row r="18" spans="1:16" ht="14.5" x14ac:dyDescent="0.35">
      <c r="A18" s="12">
        <v>17</v>
      </c>
      <c r="B18" s="13" t="s">
        <v>8</v>
      </c>
      <c r="C18" s="12">
        <v>623</v>
      </c>
      <c r="D18" s="12">
        <v>2021</v>
      </c>
      <c r="E18" s="13" t="s">
        <v>31</v>
      </c>
      <c r="F18" s="13" t="s">
        <v>10</v>
      </c>
      <c r="G18" s="14">
        <v>44297</v>
      </c>
      <c r="H18" s="12">
        <v>102</v>
      </c>
      <c r="I18" t="str">
        <v>Auckland</v>
      </c>
      <c r="J18" t="str">
        <v>New Zealand</v>
      </c>
      <c r="K18" t="str">
        <v>Trailer</v>
      </c>
      <c r="L18" t="str">
        <v>Standard</v>
      </c>
      <c r="P18">
        <f t="shared" si="0"/>
        <v>2</v>
      </c>
    </row>
    <row r="19" spans="1:16" ht="14.5" x14ac:dyDescent="0.35">
      <c r="A19" s="12">
        <v>18</v>
      </c>
      <c r="B19" s="13" t="s">
        <v>11</v>
      </c>
      <c r="C19" s="12">
        <v>623</v>
      </c>
      <c r="D19" s="12">
        <v>2004</v>
      </c>
      <c r="E19" s="13" t="s">
        <v>20</v>
      </c>
      <c r="F19" s="13" t="s">
        <v>32</v>
      </c>
      <c r="G19" s="14">
        <v>44297</v>
      </c>
      <c r="H19" s="12">
        <v>104</v>
      </c>
      <c r="I19" t="str">
        <v>Bay of Plenty</v>
      </c>
      <c r="J19" t="str">
        <v>New Zealand</v>
      </c>
      <c r="K19" t="str">
        <v>Trailer</v>
      </c>
      <c r="L19" t="str">
        <v>Standard</v>
      </c>
      <c r="P19">
        <f t="shared" si="0"/>
        <v>2</v>
      </c>
    </row>
    <row r="20" spans="1:16" ht="14.5" x14ac:dyDescent="0.35">
      <c r="A20" s="12">
        <v>19</v>
      </c>
      <c r="B20" s="13" t="s">
        <v>8</v>
      </c>
      <c r="C20" s="12">
        <v>623</v>
      </c>
      <c r="D20" s="12">
        <v>2014</v>
      </c>
      <c r="E20" s="13" t="s">
        <v>33</v>
      </c>
      <c r="F20" s="13" t="s">
        <v>32</v>
      </c>
      <c r="G20" s="14">
        <v>44327</v>
      </c>
      <c r="H20" s="12">
        <v>104</v>
      </c>
      <c r="I20" t="str">
        <v>Bay of Plenty</v>
      </c>
      <c r="J20" t="str">
        <v>New Zealand</v>
      </c>
      <c r="K20" t="str">
        <v>Trailer</v>
      </c>
      <c r="L20" t="str">
        <v>Standard</v>
      </c>
      <c r="P20">
        <f t="shared" si="0"/>
        <v>2</v>
      </c>
    </row>
    <row r="21" spans="1:16" ht="14.5" x14ac:dyDescent="0.35">
      <c r="A21" s="12">
        <v>20</v>
      </c>
      <c r="B21" s="13" t="s">
        <v>11</v>
      </c>
      <c r="C21" s="12">
        <v>623</v>
      </c>
      <c r="D21" s="12">
        <v>2018</v>
      </c>
      <c r="E21" s="13" t="s">
        <v>34</v>
      </c>
      <c r="F21" s="13" t="s">
        <v>10</v>
      </c>
      <c r="G21" s="14">
        <v>44327</v>
      </c>
      <c r="H21" s="12">
        <v>114</v>
      </c>
      <c r="I21" t="str">
        <v>Canterbury</v>
      </c>
      <c r="J21" t="str">
        <v>New Zealand</v>
      </c>
      <c r="K21" t="str">
        <v>Trailer</v>
      </c>
      <c r="L21" t="str">
        <v>Standard</v>
      </c>
      <c r="P21">
        <f t="shared" si="0"/>
        <v>2</v>
      </c>
    </row>
    <row r="22" spans="1:16" ht="14.5" x14ac:dyDescent="0.35">
      <c r="A22" s="12">
        <v>21</v>
      </c>
      <c r="B22" s="13" t="s">
        <v>16</v>
      </c>
      <c r="C22" s="12">
        <v>625</v>
      </c>
      <c r="D22" s="12">
        <v>2002</v>
      </c>
      <c r="E22" s="13" t="s">
        <v>35</v>
      </c>
      <c r="F22" s="13" t="s">
        <v>10</v>
      </c>
      <c r="G22" s="14">
        <v>44327</v>
      </c>
      <c r="H22" s="12">
        <v>101</v>
      </c>
      <c r="I22" t="str">
        <v>Northland</v>
      </c>
      <c r="J22" t="str">
        <v>New Zealand</v>
      </c>
      <c r="K22" t="str">
        <v>Triumph</v>
      </c>
      <c r="L22" t="str">
        <v>Standard</v>
      </c>
      <c r="P22">
        <f t="shared" si="0"/>
        <v>1</v>
      </c>
    </row>
    <row r="23" spans="1:16" ht="14.5" x14ac:dyDescent="0.35">
      <c r="A23" s="12">
        <v>22</v>
      </c>
      <c r="B23" s="13" t="s">
        <v>8</v>
      </c>
      <c r="C23" s="12">
        <v>538</v>
      </c>
      <c r="D23" s="12">
        <v>2000</v>
      </c>
      <c r="E23" s="13" t="s">
        <v>24</v>
      </c>
      <c r="F23" s="13" t="s">
        <v>10</v>
      </c>
      <c r="G23" s="14">
        <v>44328</v>
      </c>
      <c r="H23" s="12">
        <v>104</v>
      </c>
      <c r="I23" t="str">
        <v>Bay of Plenty</v>
      </c>
      <c r="J23" t="str">
        <v>New Zealand</v>
      </c>
      <c r="K23" t="str">
        <v>Factory Built</v>
      </c>
      <c r="L23" t="str">
        <v>Standard</v>
      </c>
      <c r="P23">
        <f t="shared" si="0"/>
        <v>1</v>
      </c>
    </row>
    <row r="24" spans="1:16" ht="14.5" x14ac:dyDescent="0.35">
      <c r="A24" s="12">
        <v>23</v>
      </c>
      <c r="B24" s="13" t="s">
        <v>8</v>
      </c>
      <c r="C24" s="12">
        <v>623</v>
      </c>
      <c r="D24" s="12">
        <v>2015</v>
      </c>
      <c r="E24" s="13" t="s">
        <v>36</v>
      </c>
      <c r="F24" s="13" t="s">
        <v>10</v>
      </c>
      <c r="G24" s="14">
        <v>44358</v>
      </c>
      <c r="H24" s="12">
        <v>114</v>
      </c>
      <c r="I24" t="str">
        <v>Canterbury</v>
      </c>
      <c r="J24" t="str">
        <v>New Zealand</v>
      </c>
      <c r="K24" t="str">
        <v>Trailer</v>
      </c>
      <c r="L24" t="str">
        <v>Standard</v>
      </c>
      <c r="P24">
        <f t="shared" si="0"/>
        <v>3</v>
      </c>
    </row>
    <row r="25" spans="1:16" ht="14.5" x14ac:dyDescent="0.35">
      <c r="A25" s="12">
        <v>24</v>
      </c>
      <c r="B25" s="13" t="s">
        <v>37</v>
      </c>
      <c r="C25" s="12">
        <v>623</v>
      </c>
      <c r="D25" s="12">
        <v>2021</v>
      </c>
      <c r="E25" s="13" t="s">
        <v>38</v>
      </c>
      <c r="F25" s="13" t="s">
        <v>10</v>
      </c>
      <c r="G25" s="14">
        <v>44358</v>
      </c>
      <c r="H25" s="12">
        <v>102</v>
      </c>
      <c r="I25" t="str">
        <v>Auckland</v>
      </c>
      <c r="J25" t="str">
        <v>New Zealand</v>
      </c>
      <c r="K25" t="str">
        <v>Trailer</v>
      </c>
      <c r="L25" t="str">
        <v>Standard</v>
      </c>
      <c r="P25">
        <f t="shared" si="0"/>
        <v>3</v>
      </c>
    </row>
    <row r="26" spans="1:16" ht="14.5" x14ac:dyDescent="0.35">
      <c r="A26" s="12">
        <v>25</v>
      </c>
      <c r="B26" s="13" t="s">
        <v>8</v>
      </c>
      <c r="C26" s="12">
        <v>623</v>
      </c>
      <c r="D26" s="12">
        <v>2018</v>
      </c>
      <c r="E26" s="13" t="s">
        <v>39</v>
      </c>
      <c r="F26" s="13" t="s">
        <v>10</v>
      </c>
      <c r="G26" s="14">
        <v>44358</v>
      </c>
      <c r="H26" s="12">
        <v>106</v>
      </c>
      <c r="I26" t="str">
        <v>Hawke's Bay</v>
      </c>
      <c r="J26" t="str">
        <v>New Zealand</v>
      </c>
      <c r="K26" t="str">
        <v>Trailer</v>
      </c>
      <c r="L26" t="str">
        <v>Standard</v>
      </c>
      <c r="P26">
        <f t="shared" si="0"/>
        <v>3</v>
      </c>
    </row>
    <row r="27" spans="1:16" ht="14.5" x14ac:dyDescent="0.35">
      <c r="A27" s="12">
        <v>26</v>
      </c>
      <c r="B27" s="13" t="s">
        <v>8</v>
      </c>
      <c r="C27" s="12">
        <v>623</v>
      </c>
      <c r="D27" s="12">
        <v>2017</v>
      </c>
      <c r="E27" s="13" t="s">
        <v>40</v>
      </c>
      <c r="F27" s="13" t="s">
        <v>10</v>
      </c>
      <c r="G27" s="14">
        <v>44359</v>
      </c>
      <c r="H27" s="12">
        <v>108</v>
      </c>
      <c r="I27" t="str">
        <v>Manawatū-Whanganui</v>
      </c>
      <c r="J27" t="str">
        <v>New Zealand</v>
      </c>
      <c r="K27" t="str">
        <v>Trailer</v>
      </c>
      <c r="L27" t="str">
        <v>Standard</v>
      </c>
      <c r="P27">
        <f t="shared" si="0"/>
        <v>5</v>
      </c>
    </row>
    <row r="28" spans="1:16" ht="14.5" x14ac:dyDescent="0.35">
      <c r="A28" s="12">
        <v>27</v>
      </c>
      <c r="B28" s="13" t="s">
        <v>8</v>
      </c>
      <c r="C28" s="12">
        <v>623</v>
      </c>
      <c r="D28" s="12">
        <v>2018</v>
      </c>
      <c r="E28" s="13" t="s">
        <v>41</v>
      </c>
      <c r="F28" s="13" t="s">
        <v>10</v>
      </c>
      <c r="G28" s="14">
        <v>44359</v>
      </c>
      <c r="H28" s="12">
        <v>103</v>
      </c>
      <c r="I28" t="str">
        <v>Waikato</v>
      </c>
      <c r="J28" t="str">
        <v>New Zealand</v>
      </c>
      <c r="K28" t="str">
        <v>Trailer</v>
      </c>
      <c r="L28" t="str">
        <v>Standard</v>
      </c>
      <c r="P28">
        <f t="shared" si="0"/>
        <v>5</v>
      </c>
    </row>
    <row r="29" spans="1:16" ht="14.5" x14ac:dyDescent="0.35">
      <c r="A29" s="12">
        <v>28</v>
      </c>
      <c r="B29" s="13" t="s">
        <v>8</v>
      </c>
      <c r="C29" s="12">
        <v>623</v>
      </c>
      <c r="D29" s="12">
        <v>2018</v>
      </c>
      <c r="E29" s="13" t="s">
        <v>42</v>
      </c>
      <c r="F29" s="13" t="s">
        <v>10</v>
      </c>
      <c r="G29" s="14">
        <v>44359</v>
      </c>
      <c r="H29" s="12">
        <v>109</v>
      </c>
      <c r="I29" t="str">
        <v>Wellington</v>
      </c>
      <c r="J29" t="str">
        <v>New Zealand</v>
      </c>
      <c r="K29" t="str">
        <v>Trailer</v>
      </c>
      <c r="L29" t="str">
        <v>Standard</v>
      </c>
      <c r="P29">
        <f t="shared" si="0"/>
        <v>5</v>
      </c>
    </row>
    <row r="30" spans="1:16" ht="14.5" x14ac:dyDescent="0.35">
      <c r="A30" s="12">
        <v>29</v>
      </c>
      <c r="B30" s="13" t="s">
        <v>8</v>
      </c>
      <c r="C30" s="12">
        <v>623</v>
      </c>
      <c r="D30" s="12">
        <v>2018</v>
      </c>
      <c r="E30" s="13" t="s">
        <v>23</v>
      </c>
      <c r="F30" s="13" t="s">
        <v>10</v>
      </c>
      <c r="G30" s="14">
        <v>44359</v>
      </c>
      <c r="H30" s="12">
        <v>104</v>
      </c>
      <c r="I30" t="str">
        <v>Bay of Plenty</v>
      </c>
      <c r="J30" t="str">
        <v>New Zealand</v>
      </c>
      <c r="K30" t="str">
        <v>Trailer</v>
      </c>
      <c r="L30" t="str">
        <v>Standard</v>
      </c>
      <c r="P30">
        <f t="shared" si="0"/>
        <v>5</v>
      </c>
    </row>
    <row r="31" spans="1:16" ht="14.5" x14ac:dyDescent="0.35">
      <c r="A31" s="12">
        <v>30</v>
      </c>
      <c r="B31" s="13" t="s">
        <v>8</v>
      </c>
      <c r="C31" s="12">
        <v>623</v>
      </c>
      <c r="D31" s="12">
        <v>2018</v>
      </c>
      <c r="E31" s="13" t="s">
        <v>43</v>
      </c>
      <c r="F31" s="13" t="s">
        <v>10</v>
      </c>
      <c r="G31" s="14">
        <v>44359</v>
      </c>
      <c r="H31" s="12">
        <v>102</v>
      </c>
      <c r="I31" t="str">
        <v>Auckland</v>
      </c>
      <c r="J31" t="str">
        <v>New Zealand</v>
      </c>
      <c r="K31" t="str">
        <v>Trailer</v>
      </c>
      <c r="L31" t="str">
        <v>Standard</v>
      </c>
      <c r="P31">
        <f t="shared" si="0"/>
        <v>5</v>
      </c>
    </row>
    <row r="32" spans="1:16" ht="14.5" x14ac:dyDescent="0.35">
      <c r="A32" s="12">
        <v>31</v>
      </c>
      <c r="B32" s="13" t="s">
        <v>8</v>
      </c>
      <c r="C32" s="12">
        <v>623</v>
      </c>
      <c r="D32" s="12">
        <v>2018</v>
      </c>
      <c r="E32" s="13" t="s">
        <v>44</v>
      </c>
      <c r="F32" s="13" t="s">
        <v>45</v>
      </c>
      <c r="G32" s="14">
        <v>44387</v>
      </c>
      <c r="H32" s="12">
        <v>102</v>
      </c>
      <c r="I32" t="str">
        <v>Auckland</v>
      </c>
      <c r="J32" t="str">
        <v>New Zealand</v>
      </c>
      <c r="K32" t="str">
        <v>Trailer</v>
      </c>
      <c r="L32" t="str">
        <v>Standard</v>
      </c>
      <c r="P32">
        <f t="shared" si="0"/>
        <v>1</v>
      </c>
    </row>
    <row r="33" spans="1:16" ht="14.5" x14ac:dyDescent="0.35">
      <c r="A33" s="12">
        <v>32</v>
      </c>
      <c r="B33" s="13" t="s">
        <v>8</v>
      </c>
      <c r="C33" s="12">
        <v>549</v>
      </c>
      <c r="D33" s="12">
        <v>1998</v>
      </c>
      <c r="E33" s="13" t="s">
        <v>46</v>
      </c>
      <c r="F33" s="13" t="s">
        <v>47</v>
      </c>
      <c r="G33" s="14">
        <v>44387</v>
      </c>
      <c r="H33" s="12">
        <v>114</v>
      </c>
      <c r="I33" t="str">
        <v>Canterbury</v>
      </c>
      <c r="J33" t="str">
        <v>New Zealand</v>
      </c>
      <c r="K33" t="str">
        <v>Homebuilt</v>
      </c>
      <c r="L33" t="str">
        <v>Standard</v>
      </c>
      <c r="P33">
        <f t="shared" si="0"/>
        <v>1</v>
      </c>
    </row>
    <row r="34" spans="1:16" ht="14.5" x14ac:dyDescent="0.35">
      <c r="A34" s="12">
        <v>33</v>
      </c>
      <c r="B34" s="13" t="s">
        <v>11</v>
      </c>
      <c r="C34" s="12">
        <v>623</v>
      </c>
      <c r="D34" s="12">
        <v>2017</v>
      </c>
      <c r="E34" s="13" t="s">
        <v>48</v>
      </c>
      <c r="F34" s="13" t="s">
        <v>45</v>
      </c>
      <c r="G34" s="14">
        <v>44389</v>
      </c>
      <c r="H34" s="12">
        <v>104</v>
      </c>
      <c r="I34" t="str">
        <v>Bay of Plenty</v>
      </c>
      <c r="J34" t="str">
        <v>New Zealand</v>
      </c>
      <c r="K34" t="str">
        <v>Trailer</v>
      </c>
      <c r="L34" t="str">
        <v>Standard</v>
      </c>
      <c r="P34">
        <f t="shared" si="0"/>
        <v>6</v>
      </c>
    </row>
    <row r="35" spans="1:16" ht="14.5" x14ac:dyDescent="0.35">
      <c r="A35" s="12">
        <v>34</v>
      </c>
      <c r="B35" s="13" t="s">
        <v>8</v>
      </c>
      <c r="C35" s="12">
        <v>623</v>
      </c>
      <c r="D35" s="12">
        <v>2021</v>
      </c>
      <c r="E35" s="13" t="s">
        <v>49</v>
      </c>
      <c r="F35" s="13" t="s">
        <v>10</v>
      </c>
      <c r="G35" s="14">
        <v>44389</v>
      </c>
      <c r="H35" s="12">
        <v>102</v>
      </c>
      <c r="I35" t="str">
        <v>Auckland</v>
      </c>
      <c r="J35" t="str">
        <v>New Zealand</v>
      </c>
      <c r="K35" t="str">
        <v>Trailer</v>
      </c>
      <c r="L35" t="str">
        <v>Standard</v>
      </c>
      <c r="P35">
        <f t="shared" si="0"/>
        <v>6</v>
      </c>
    </row>
    <row r="36" spans="1:16" ht="14.5" x14ac:dyDescent="0.35">
      <c r="A36" s="12">
        <v>35</v>
      </c>
      <c r="B36" s="13" t="s">
        <v>8</v>
      </c>
      <c r="C36" s="12">
        <v>514</v>
      </c>
      <c r="D36" s="12">
        <v>2021</v>
      </c>
      <c r="E36" s="13" t="s">
        <v>50</v>
      </c>
      <c r="F36" s="13" t="s">
        <v>10</v>
      </c>
      <c r="G36" s="14">
        <v>44389</v>
      </c>
      <c r="H36" s="12">
        <v>114</v>
      </c>
      <c r="I36" t="str">
        <v>Canterbury</v>
      </c>
      <c r="J36" t="str">
        <v>New Zealand</v>
      </c>
      <c r="K36" t="str">
        <v>Briford</v>
      </c>
      <c r="L36" t="str">
        <v>Standard</v>
      </c>
      <c r="P36">
        <f t="shared" si="0"/>
        <v>1</v>
      </c>
    </row>
    <row r="37" spans="1:16" ht="14.5" x14ac:dyDescent="0.35">
      <c r="A37" s="12">
        <v>36</v>
      </c>
      <c r="B37" s="13" t="s">
        <v>8</v>
      </c>
      <c r="C37" s="12">
        <v>623</v>
      </c>
      <c r="D37" s="12">
        <v>2018</v>
      </c>
      <c r="E37" s="13" t="s">
        <v>51</v>
      </c>
      <c r="F37" s="13" t="s">
        <v>45</v>
      </c>
      <c r="G37" s="14">
        <v>44389</v>
      </c>
      <c r="H37" s="12">
        <v>103</v>
      </c>
      <c r="I37" t="str">
        <v>Waikato</v>
      </c>
      <c r="J37" t="str">
        <v>New Zealand</v>
      </c>
      <c r="K37" t="str">
        <v>Trailer</v>
      </c>
      <c r="L37" t="str">
        <v>Standard</v>
      </c>
      <c r="P37">
        <f t="shared" si="0"/>
        <v>6</v>
      </c>
    </row>
    <row r="38" spans="1:16" ht="14.5" x14ac:dyDescent="0.35">
      <c r="A38" s="12">
        <v>37</v>
      </c>
      <c r="B38" s="13" t="s">
        <v>8</v>
      </c>
      <c r="C38" s="12">
        <v>623</v>
      </c>
      <c r="D38" s="12">
        <v>2018</v>
      </c>
      <c r="E38" s="13" t="s">
        <v>52</v>
      </c>
      <c r="F38" s="13" t="s">
        <v>10</v>
      </c>
      <c r="G38" s="14">
        <v>44389</v>
      </c>
      <c r="H38" s="12">
        <v>102</v>
      </c>
      <c r="I38" t="str">
        <v>Auckland</v>
      </c>
      <c r="J38" t="str">
        <v>New Zealand</v>
      </c>
      <c r="K38" t="str">
        <v>Trailer</v>
      </c>
      <c r="L38" t="str">
        <v>Standard</v>
      </c>
      <c r="P38">
        <f t="shared" si="0"/>
        <v>6</v>
      </c>
    </row>
    <row r="39" spans="1:16" ht="14.5" x14ac:dyDescent="0.35">
      <c r="A39" s="12">
        <v>38</v>
      </c>
      <c r="B39" s="13" t="s">
        <v>8</v>
      </c>
      <c r="C39" s="12">
        <v>623</v>
      </c>
      <c r="D39" s="12">
        <v>2018</v>
      </c>
      <c r="E39" s="13" t="s">
        <v>53</v>
      </c>
      <c r="F39" s="13" t="s">
        <v>10</v>
      </c>
      <c r="G39" s="14">
        <v>44389</v>
      </c>
      <c r="H39" s="12">
        <v>109</v>
      </c>
      <c r="I39" t="str">
        <v>Wellington</v>
      </c>
      <c r="J39" t="str">
        <v>New Zealand</v>
      </c>
      <c r="K39" t="str">
        <v>Trailer</v>
      </c>
      <c r="L39" t="str">
        <v>Standard</v>
      </c>
      <c r="P39">
        <f t="shared" si="0"/>
        <v>6</v>
      </c>
    </row>
    <row r="40" spans="1:16" ht="14.5" x14ac:dyDescent="0.35">
      <c r="A40" s="12">
        <v>39</v>
      </c>
      <c r="B40" s="13" t="s">
        <v>37</v>
      </c>
      <c r="C40" s="12">
        <v>623</v>
      </c>
      <c r="D40" s="12">
        <v>2021</v>
      </c>
      <c r="E40" s="13" t="s">
        <v>54</v>
      </c>
      <c r="F40" s="13" t="s">
        <v>10</v>
      </c>
      <c r="G40" s="14">
        <v>44389</v>
      </c>
      <c r="H40" s="12">
        <v>104</v>
      </c>
      <c r="I40" t="str">
        <v>Bay of Plenty</v>
      </c>
      <c r="J40" t="str">
        <v>New Zealand</v>
      </c>
      <c r="K40" t="str">
        <v>Trailer</v>
      </c>
      <c r="L40" t="str">
        <v>Standard</v>
      </c>
      <c r="P40">
        <f t="shared" si="0"/>
        <v>6</v>
      </c>
    </row>
    <row r="41" spans="1:16" ht="14.5" x14ac:dyDescent="0.35">
      <c r="A41" s="12">
        <v>40</v>
      </c>
      <c r="B41" s="13" t="s">
        <v>8</v>
      </c>
      <c r="C41" s="12">
        <v>549</v>
      </c>
      <c r="D41" s="12">
        <v>2021</v>
      </c>
      <c r="E41" s="13" t="s">
        <v>46</v>
      </c>
      <c r="F41" s="13" t="s">
        <v>18</v>
      </c>
      <c r="G41" s="14">
        <v>44418</v>
      </c>
      <c r="H41" s="12">
        <v>109</v>
      </c>
      <c r="I41" t="str">
        <v>Wellington</v>
      </c>
      <c r="J41" t="str">
        <v>New Zealand</v>
      </c>
      <c r="K41" t="str">
        <v>Homebuilt</v>
      </c>
      <c r="L41" t="str">
        <v>Standard</v>
      </c>
      <c r="P41">
        <f t="shared" si="0"/>
        <v>1</v>
      </c>
    </row>
    <row r="42" spans="1:16" ht="14.5" x14ac:dyDescent="0.35">
      <c r="A42" s="12">
        <v>41</v>
      </c>
      <c r="B42" s="13" t="s">
        <v>8</v>
      </c>
      <c r="C42" s="12">
        <v>623</v>
      </c>
      <c r="D42" s="12">
        <v>2021</v>
      </c>
      <c r="E42" s="13" t="s">
        <v>53</v>
      </c>
      <c r="F42" s="13" t="s">
        <v>10</v>
      </c>
      <c r="G42" s="14">
        <v>44418</v>
      </c>
      <c r="H42" s="12">
        <v>106</v>
      </c>
      <c r="I42" t="str">
        <v>Hawke's Bay</v>
      </c>
      <c r="J42" t="str">
        <v>New Zealand</v>
      </c>
      <c r="K42" t="str">
        <v>Trailer</v>
      </c>
      <c r="L42" t="str">
        <v>Standard</v>
      </c>
      <c r="P42">
        <f t="shared" si="0"/>
        <v>1</v>
      </c>
    </row>
    <row r="43" spans="1:16" ht="14.5" x14ac:dyDescent="0.35">
      <c r="A43" s="12">
        <v>42</v>
      </c>
      <c r="B43" s="13" t="s">
        <v>8</v>
      </c>
      <c r="C43" s="12">
        <v>623</v>
      </c>
      <c r="D43" s="12">
        <v>2002</v>
      </c>
      <c r="E43" s="13" t="s">
        <v>51</v>
      </c>
      <c r="F43" s="13" t="s">
        <v>10</v>
      </c>
      <c r="G43" s="14">
        <v>44419</v>
      </c>
      <c r="H43" s="12">
        <v>102</v>
      </c>
      <c r="I43" t="str">
        <v>Auckland</v>
      </c>
      <c r="J43" t="str">
        <v>New Zealand</v>
      </c>
      <c r="K43" t="str">
        <v>Trailer</v>
      </c>
      <c r="L43" t="str">
        <v>Standard</v>
      </c>
      <c r="P43">
        <f t="shared" si="0"/>
        <v>4</v>
      </c>
    </row>
    <row r="44" spans="1:16" ht="14.5" x14ac:dyDescent="0.35">
      <c r="A44" s="12">
        <v>43</v>
      </c>
      <c r="B44" s="13" t="s">
        <v>11</v>
      </c>
      <c r="C44" s="12">
        <v>623</v>
      </c>
      <c r="D44" s="12">
        <v>2018</v>
      </c>
      <c r="E44" s="13" t="s">
        <v>55</v>
      </c>
      <c r="F44" s="13" t="s">
        <v>10</v>
      </c>
      <c r="G44" s="14">
        <v>44419</v>
      </c>
      <c r="H44" s="12">
        <v>102</v>
      </c>
      <c r="I44" t="str">
        <v>Auckland</v>
      </c>
      <c r="J44" t="str">
        <v>New Zealand</v>
      </c>
      <c r="K44" t="str">
        <v>Trailer</v>
      </c>
      <c r="L44" t="str">
        <v>Standard</v>
      </c>
      <c r="P44">
        <f t="shared" si="0"/>
        <v>4</v>
      </c>
    </row>
    <row r="45" spans="1:16" ht="14.5" x14ac:dyDescent="0.35">
      <c r="A45" s="12">
        <v>44</v>
      </c>
      <c r="B45" s="13" t="s">
        <v>8</v>
      </c>
      <c r="C45" s="12">
        <v>549</v>
      </c>
      <c r="D45" s="12">
        <v>2018</v>
      </c>
      <c r="E45" s="13" t="s">
        <v>46</v>
      </c>
      <c r="F45" s="13" t="s">
        <v>10</v>
      </c>
      <c r="G45" s="14">
        <v>44419</v>
      </c>
      <c r="H45" s="12">
        <v>114</v>
      </c>
      <c r="I45" t="str">
        <v>Canterbury</v>
      </c>
      <c r="J45" t="str">
        <v>New Zealand</v>
      </c>
      <c r="K45" t="str">
        <v>Homebuilt</v>
      </c>
      <c r="L45" t="str">
        <v>Standard</v>
      </c>
      <c r="P45">
        <f t="shared" si="0"/>
        <v>1</v>
      </c>
    </row>
    <row r="46" spans="1:16" ht="14.5" x14ac:dyDescent="0.35">
      <c r="A46" s="12">
        <v>45</v>
      </c>
      <c r="B46" s="13" t="s">
        <v>8</v>
      </c>
      <c r="C46" s="12">
        <v>623</v>
      </c>
      <c r="D46" s="12">
        <v>2014</v>
      </c>
      <c r="E46" s="13" t="s">
        <v>33</v>
      </c>
      <c r="F46" s="13" t="s">
        <v>10</v>
      </c>
      <c r="G46" s="14">
        <v>44419</v>
      </c>
      <c r="H46" s="12">
        <v>104</v>
      </c>
      <c r="I46" t="str">
        <v>Bay of Plenty</v>
      </c>
      <c r="J46" t="str">
        <v>New Zealand</v>
      </c>
      <c r="K46" t="str">
        <v>Trailer</v>
      </c>
      <c r="L46" t="str">
        <v>Standard</v>
      </c>
      <c r="P46">
        <f t="shared" si="0"/>
        <v>4</v>
      </c>
    </row>
    <row r="47" spans="1:16" ht="14.5" x14ac:dyDescent="0.35">
      <c r="A47" s="12">
        <v>46</v>
      </c>
      <c r="B47" s="13" t="s">
        <v>25</v>
      </c>
      <c r="C47" s="12">
        <v>538</v>
      </c>
      <c r="D47" s="12">
        <v>2005</v>
      </c>
      <c r="E47" s="13" t="s">
        <v>56</v>
      </c>
      <c r="F47" s="13" t="s">
        <v>10</v>
      </c>
      <c r="G47" s="14">
        <v>44419</v>
      </c>
      <c r="H47" s="12">
        <v>106</v>
      </c>
      <c r="I47" t="str">
        <v>Hawke's Bay</v>
      </c>
      <c r="J47" t="str">
        <v>New Zealand</v>
      </c>
      <c r="K47" t="str">
        <v>Factory Built</v>
      </c>
      <c r="L47" t="str">
        <v>Standard</v>
      </c>
      <c r="P47">
        <f t="shared" si="0"/>
        <v>1</v>
      </c>
    </row>
    <row r="48" spans="1:16" ht="14.5" x14ac:dyDescent="0.35">
      <c r="A48" s="12">
        <v>47</v>
      </c>
      <c r="B48" s="13" t="s">
        <v>37</v>
      </c>
      <c r="C48" s="12">
        <v>623</v>
      </c>
      <c r="D48" s="12">
        <v>2004</v>
      </c>
      <c r="E48" s="13" t="s">
        <v>57</v>
      </c>
      <c r="F48" s="13" t="s">
        <v>45</v>
      </c>
      <c r="G48" s="14">
        <v>44419</v>
      </c>
      <c r="H48" s="12">
        <v>102</v>
      </c>
      <c r="I48" t="str">
        <v>Auckland</v>
      </c>
      <c r="J48" t="str">
        <v>New Zealand</v>
      </c>
      <c r="K48" t="str">
        <v>Trailer</v>
      </c>
      <c r="L48" t="str">
        <v>Standard</v>
      </c>
      <c r="P48">
        <f t="shared" si="0"/>
        <v>4</v>
      </c>
    </row>
    <row r="49" spans="1:16" ht="14.5" x14ac:dyDescent="0.35">
      <c r="A49" s="12">
        <v>48</v>
      </c>
      <c r="B49" s="13" t="s">
        <v>8</v>
      </c>
      <c r="C49" s="12">
        <v>527</v>
      </c>
      <c r="D49" s="12">
        <v>2021</v>
      </c>
      <c r="E49" s="13" t="s">
        <v>46</v>
      </c>
      <c r="F49" s="13" t="s">
        <v>10</v>
      </c>
      <c r="G49" s="14">
        <v>44419</v>
      </c>
      <c r="H49" s="12">
        <v>102</v>
      </c>
      <c r="I49" t="str">
        <v>Auckland</v>
      </c>
      <c r="J49" t="str">
        <v>New Zealand</v>
      </c>
      <c r="K49" t="str">
        <v>Custombuilt</v>
      </c>
      <c r="L49" t="str">
        <v>Standard</v>
      </c>
      <c r="P49">
        <f t="shared" si="0"/>
        <v>1</v>
      </c>
    </row>
    <row r="50" spans="1:16" ht="14.5" x14ac:dyDescent="0.35">
      <c r="A50" s="12">
        <v>49</v>
      </c>
      <c r="B50" s="13" t="s">
        <v>8</v>
      </c>
      <c r="C50" s="12">
        <v>623</v>
      </c>
      <c r="D50" s="12">
        <v>2021</v>
      </c>
      <c r="E50" s="13" t="s">
        <v>58</v>
      </c>
      <c r="F50" s="13" t="s">
        <v>45</v>
      </c>
      <c r="G50" s="14">
        <v>44420</v>
      </c>
      <c r="H50" s="12">
        <v>102</v>
      </c>
      <c r="I50" t="str">
        <v>Auckland</v>
      </c>
      <c r="J50" t="str">
        <v>New Zealand</v>
      </c>
      <c r="K50" t="str">
        <v>Trailer</v>
      </c>
      <c r="L50" t="str">
        <v>Standard</v>
      </c>
      <c r="P50">
        <f t="shared" si="0"/>
        <v>2</v>
      </c>
    </row>
    <row r="51" spans="1:16" ht="14.5" x14ac:dyDescent="0.35">
      <c r="A51" s="12">
        <v>50</v>
      </c>
      <c r="B51" s="13" t="s">
        <v>8</v>
      </c>
      <c r="C51" s="12">
        <v>623</v>
      </c>
      <c r="D51" s="12">
        <v>2021</v>
      </c>
      <c r="E51" s="13" t="s">
        <v>59</v>
      </c>
      <c r="F51" s="13" t="s">
        <v>10</v>
      </c>
      <c r="G51" s="14">
        <v>44420</v>
      </c>
      <c r="H51" s="12">
        <v>114</v>
      </c>
      <c r="I51" t="str">
        <v>Canterbury</v>
      </c>
      <c r="J51" t="str">
        <v>New Zealand</v>
      </c>
      <c r="K51" t="str">
        <v>Trailer</v>
      </c>
      <c r="L51" t="str">
        <v>Standard</v>
      </c>
      <c r="P51">
        <f t="shared" si="0"/>
        <v>2</v>
      </c>
    </row>
    <row r="52" spans="1:16" ht="14.5" x14ac:dyDescent="0.35">
      <c r="A52" s="12">
        <v>51</v>
      </c>
      <c r="B52" s="13" t="s">
        <v>8</v>
      </c>
      <c r="C52" s="12">
        <v>514</v>
      </c>
      <c r="D52" s="12">
        <v>2021</v>
      </c>
      <c r="E52" s="13" t="s">
        <v>60</v>
      </c>
      <c r="F52" s="13" t="s">
        <v>10</v>
      </c>
      <c r="G52" s="14">
        <v>44449</v>
      </c>
      <c r="H52" s="12">
        <v>102</v>
      </c>
      <c r="I52" t="str">
        <v>Auckland</v>
      </c>
      <c r="J52" t="str">
        <v>New Zealand</v>
      </c>
      <c r="K52" t="str">
        <v>Briford</v>
      </c>
      <c r="L52" t="str">
        <v>Standard</v>
      </c>
      <c r="P52">
        <f t="shared" si="0"/>
        <v>1</v>
      </c>
    </row>
    <row r="53" spans="1:16" ht="14.5" x14ac:dyDescent="0.35">
      <c r="A53" s="12">
        <v>52</v>
      </c>
      <c r="B53" s="13" t="s">
        <v>61</v>
      </c>
      <c r="C53" s="12">
        <v>537</v>
      </c>
      <c r="D53" s="12">
        <v>2003</v>
      </c>
      <c r="E53" s="13" t="s">
        <v>62</v>
      </c>
      <c r="F53" s="13" t="s">
        <v>32</v>
      </c>
      <c r="G53" s="14">
        <v>44449</v>
      </c>
      <c r="H53" s="12">
        <v>114</v>
      </c>
      <c r="I53" t="str">
        <v>Canterbury</v>
      </c>
      <c r="J53" t="str">
        <v>New Zealand</v>
      </c>
      <c r="K53" t="str">
        <v>Elddis</v>
      </c>
      <c r="L53" t="str">
        <v>Standard</v>
      </c>
      <c r="P53">
        <f t="shared" si="0"/>
        <v>1</v>
      </c>
    </row>
    <row r="54" spans="1:16" ht="14.5" x14ac:dyDescent="0.35">
      <c r="A54" s="12">
        <v>53</v>
      </c>
      <c r="B54" s="13" t="s">
        <v>16</v>
      </c>
      <c r="C54" s="12">
        <v>636</v>
      </c>
      <c r="D54" s="12">
        <v>1995</v>
      </c>
      <c r="E54" s="13" t="s">
        <v>63</v>
      </c>
      <c r="F54" s="13" t="s">
        <v>28</v>
      </c>
      <c r="G54" s="14">
        <v>44450</v>
      </c>
      <c r="H54" s="12">
        <v>111</v>
      </c>
      <c r="I54" t="str">
        <v>Nelson</v>
      </c>
      <c r="J54" t="str">
        <v>New Zealand</v>
      </c>
      <c r="K54" t="str">
        <v>Yamaha</v>
      </c>
      <c r="L54" t="str">
        <v>Standard</v>
      </c>
      <c r="P54">
        <f t="shared" si="0"/>
        <v>1</v>
      </c>
    </row>
    <row r="55" spans="1:16" ht="14.5" x14ac:dyDescent="0.35">
      <c r="A55" s="12">
        <v>54</v>
      </c>
      <c r="B55" s="13" t="s">
        <v>16</v>
      </c>
      <c r="C55" s="12">
        <v>561</v>
      </c>
      <c r="D55" s="12">
        <v>1999</v>
      </c>
      <c r="E55" s="13" t="s">
        <v>64</v>
      </c>
      <c r="F55" s="13" t="s">
        <v>47</v>
      </c>
      <c r="G55" s="14">
        <v>44450</v>
      </c>
      <c r="H55" s="12">
        <v>104</v>
      </c>
      <c r="I55" t="str">
        <v>Bay of Plenty</v>
      </c>
      <c r="J55" t="str">
        <v>New Zealand</v>
      </c>
      <c r="K55" t="str">
        <v>Kawasaki</v>
      </c>
      <c r="L55" t="str">
        <v>Standard</v>
      </c>
      <c r="P55">
        <f t="shared" si="0"/>
        <v>1</v>
      </c>
    </row>
    <row r="56" spans="1:16" ht="14.5" x14ac:dyDescent="0.35">
      <c r="A56" s="12">
        <v>55</v>
      </c>
      <c r="B56" s="13" t="s">
        <v>37</v>
      </c>
      <c r="C56" s="12">
        <v>623</v>
      </c>
      <c r="D56" s="12">
        <v>2021</v>
      </c>
      <c r="E56" s="13" t="s">
        <v>54</v>
      </c>
      <c r="F56" s="13" t="s">
        <v>10</v>
      </c>
      <c r="G56" s="14">
        <v>44450</v>
      </c>
      <c r="H56" s="12">
        <v>104</v>
      </c>
      <c r="I56" t="str">
        <v>Bay of Plenty</v>
      </c>
      <c r="J56" t="str">
        <v>New Zealand</v>
      </c>
      <c r="K56" t="str">
        <v>Trailer</v>
      </c>
      <c r="L56" t="str">
        <v>Standard</v>
      </c>
      <c r="P56">
        <f t="shared" si="0"/>
        <v>1</v>
      </c>
    </row>
    <row r="57" spans="1:16" ht="14.5" x14ac:dyDescent="0.35">
      <c r="A57" s="12">
        <v>56</v>
      </c>
      <c r="B57" s="13" t="s">
        <v>37</v>
      </c>
      <c r="C57" s="12">
        <v>623</v>
      </c>
      <c r="D57" s="12">
        <v>2000</v>
      </c>
      <c r="E57" s="13" t="s">
        <v>65</v>
      </c>
      <c r="F57" s="13" t="s">
        <v>66</v>
      </c>
      <c r="G57" s="14">
        <v>44479</v>
      </c>
      <c r="H57" s="12">
        <v>102</v>
      </c>
      <c r="I57" t="str">
        <v>Auckland</v>
      </c>
      <c r="J57" t="str">
        <v>New Zealand</v>
      </c>
      <c r="K57" t="str">
        <v>Trailer</v>
      </c>
      <c r="L57" t="str">
        <v>Standard</v>
      </c>
      <c r="P57">
        <f t="shared" si="0"/>
        <v>4</v>
      </c>
    </row>
    <row r="58" spans="1:16" ht="14.5" x14ac:dyDescent="0.35">
      <c r="A58" s="12">
        <v>57</v>
      </c>
      <c r="B58" s="13" t="s">
        <v>11</v>
      </c>
      <c r="C58" s="12">
        <v>623</v>
      </c>
      <c r="D58" s="12">
        <v>2021</v>
      </c>
      <c r="E58" s="13" t="s">
        <v>13</v>
      </c>
      <c r="F58" s="13" t="s">
        <v>10</v>
      </c>
      <c r="G58" s="14">
        <v>44479</v>
      </c>
      <c r="H58" s="12">
        <v>102</v>
      </c>
      <c r="I58" t="str">
        <v>Auckland</v>
      </c>
      <c r="J58" t="str">
        <v>New Zealand</v>
      </c>
      <c r="K58" t="str">
        <v>Trailer</v>
      </c>
      <c r="L58" t="str">
        <v>Standard</v>
      </c>
      <c r="P58">
        <f t="shared" si="0"/>
        <v>4</v>
      </c>
    </row>
    <row r="59" spans="1:16" ht="14.5" x14ac:dyDescent="0.35">
      <c r="A59" s="12">
        <v>58</v>
      </c>
      <c r="B59" s="13" t="s">
        <v>8</v>
      </c>
      <c r="C59" s="12">
        <v>623</v>
      </c>
      <c r="D59" s="12">
        <v>1997</v>
      </c>
      <c r="E59" s="13" t="s">
        <v>67</v>
      </c>
      <c r="F59" s="13" t="s">
        <v>66</v>
      </c>
      <c r="G59" s="14">
        <v>44479</v>
      </c>
      <c r="H59" s="12">
        <v>105</v>
      </c>
      <c r="I59" t="str">
        <v>Gisborne</v>
      </c>
      <c r="J59" t="str">
        <v>New Zealand</v>
      </c>
      <c r="K59" t="str">
        <v>Trailer</v>
      </c>
      <c r="L59" t="str">
        <v>Standard</v>
      </c>
      <c r="P59">
        <f t="shared" si="0"/>
        <v>4</v>
      </c>
    </row>
    <row r="60" spans="1:16" ht="14.5" x14ac:dyDescent="0.35">
      <c r="A60" s="12">
        <v>59</v>
      </c>
      <c r="B60" s="13" t="s">
        <v>8</v>
      </c>
      <c r="C60" s="12">
        <v>623</v>
      </c>
      <c r="D60" s="12">
        <v>2021</v>
      </c>
      <c r="E60" s="13" t="s">
        <v>23</v>
      </c>
      <c r="F60" s="13" t="s">
        <v>18</v>
      </c>
      <c r="G60" s="14">
        <v>44479</v>
      </c>
      <c r="H60" s="12">
        <v>102</v>
      </c>
      <c r="I60" t="str">
        <v>Auckland</v>
      </c>
      <c r="J60" t="str">
        <v>New Zealand</v>
      </c>
      <c r="K60" t="str">
        <v>Trailer</v>
      </c>
      <c r="L60" t="str">
        <v>Standard</v>
      </c>
      <c r="P60">
        <f t="shared" si="0"/>
        <v>4</v>
      </c>
    </row>
    <row r="61" spans="1:16" ht="14.5" x14ac:dyDescent="0.35">
      <c r="A61" s="12">
        <v>60</v>
      </c>
      <c r="B61" s="13" t="s">
        <v>8</v>
      </c>
      <c r="C61" s="12">
        <v>623</v>
      </c>
      <c r="D61" s="12">
        <v>1983</v>
      </c>
      <c r="E61" s="13" t="s">
        <v>68</v>
      </c>
      <c r="F61" s="13" t="s">
        <v>69</v>
      </c>
      <c r="G61" s="14">
        <v>44480</v>
      </c>
      <c r="H61" s="12">
        <v>108</v>
      </c>
      <c r="I61" t="str">
        <v>Manawatū-Whanganui</v>
      </c>
      <c r="J61" t="str">
        <v>New Zealand</v>
      </c>
      <c r="K61" t="str">
        <v>Trailer</v>
      </c>
      <c r="L61" t="str">
        <v>Standard</v>
      </c>
      <c r="P61">
        <f t="shared" si="0"/>
        <v>1</v>
      </c>
    </row>
    <row r="62" spans="1:16" ht="14.5" x14ac:dyDescent="0.35">
      <c r="A62" s="12">
        <v>61</v>
      </c>
      <c r="B62" s="13" t="s">
        <v>8</v>
      </c>
      <c r="C62" s="12">
        <v>623</v>
      </c>
      <c r="D62" s="12">
        <v>2021</v>
      </c>
      <c r="E62" s="13" t="s">
        <v>70</v>
      </c>
      <c r="F62" s="13" t="s">
        <v>10</v>
      </c>
      <c r="G62" s="15">
        <v>44482</v>
      </c>
      <c r="H62" s="12">
        <v>102</v>
      </c>
      <c r="I62" t="str">
        <v>Auckland</v>
      </c>
      <c r="J62" t="str">
        <v>New Zealand</v>
      </c>
      <c r="K62" t="str">
        <v>Trailer</v>
      </c>
      <c r="L62" t="str">
        <v>Standard</v>
      </c>
      <c r="P62">
        <f t="shared" si="0"/>
        <v>1</v>
      </c>
    </row>
    <row r="63" spans="1:16" ht="14.5" x14ac:dyDescent="0.35">
      <c r="A63" s="12">
        <v>62</v>
      </c>
      <c r="B63" s="13" t="s">
        <v>8</v>
      </c>
      <c r="C63" s="12">
        <v>623</v>
      </c>
      <c r="D63" s="12">
        <v>2018</v>
      </c>
      <c r="E63" s="13" t="s">
        <v>71</v>
      </c>
      <c r="F63" s="13" t="s">
        <v>10</v>
      </c>
      <c r="G63" s="15">
        <v>44483</v>
      </c>
      <c r="H63" s="12">
        <v>102</v>
      </c>
      <c r="I63" t="str">
        <v>Auckland</v>
      </c>
      <c r="J63" t="str">
        <v>New Zealand</v>
      </c>
      <c r="K63" t="str">
        <v>Trailer</v>
      </c>
      <c r="L63" t="str">
        <v>Standard</v>
      </c>
      <c r="P63">
        <f t="shared" si="0"/>
        <v>3</v>
      </c>
    </row>
    <row r="64" spans="1:16" ht="14.5" x14ac:dyDescent="0.35">
      <c r="A64" s="12">
        <v>63</v>
      </c>
      <c r="B64" s="13" t="s">
        <v>25</v>
      </c>
      <c r="C64" s="12">
        <v>550</v>
      </c>
      <c r="D64" s="12">
        <v>2008</v>
      </c>
      <c r="E64" s="13" t="s">
        <v>72</v>
      </c>
      <c r="F64" s="13" t="s">
        <v>66</v>
      </c>
      <c r="G64" s="15">
        <v>44483</v>
      </c>
      <c r="H64" s="12">
        <v>104</v>
      </c>
      <c r="I64" t="str">
        <v>Bay of Plenty</v>
      </c>
      <c r="J64" t="str">
        <v>New Zealand</v>
      </c>
      <c r="K64" t="str">
        <v>Honda</v>
      </c>
      <c r="L64" t="str">
        <v>Standard</v>
      </c>
      <c r="P64">
        <f t="shared" si="0"/>
        <v>1</v>
      </c>
    </row>
    <row r="65" spans="1:16" ht="14.5" x14ac:dyDescent="0.35">
      <c r="A65" s="12">
        <v>64</v>
      </c>
      <c r="B65" s="13" t="s">
        <v>8</v>
      </c>
      <c r="C65" s="12">
        <v>623</v>
      </c>
      <c r="D65" s="12">
        <v>2018</v>
      </c>
      <c r="E65" s="13" t="s">
        <v>73</v>
      </c>
      <c r="F65" s="13" t="s">
        <v>18</v>
      </c>
      <c r="G65" s="15">
        <v>44483</v>
      </c>
      <c r="H65" s="12">
        <v>104</v>
      </c>
      <c r="I65" t="str">
        <v>Bay of Plenty</v>
      </c>
      <c r="J65" t="str">
        <v>New Zealand</v>
      </c>
      <c r="K65" t="str">
        <v>Trailer</v>
      </c>
      <c r="L65" t="str">
        <v>Standard</v>
      </c>
      <c r="P65">
        <f t="shared" si="0"/>
        <v>3</v>
      </c>
    </row>
    <row r="66" spans="1:16" ht="14.5" x14ac:dyDescent="0.35">
      <c r="A66" s="12">
        <v>65</v>
      </c>
      <c r="B66" s="13" t="s">
        <v>8</v>
      </c>
      <c r="C66" s="12">
        <v>623</v>
      </c>
      <c r="D66" s="12">
        <v>2014</v>
      </c>
      <c r="E66" s="13" t="s">
        <v>54</v>
      </c>
      <c r="F66" s="13" t="s">
        <v>10</v>
      </c>
      <c r="G66" s="15">
        <v>44483</v>
      </c>
      <c r="H66" s="12">
        <v>104</v>
      </c>
      <c r="I66" t="str">
        <v>Bay of Plenty</v>
      </c>
      <c r="J66" t="str">
        <v>New Zealand</v>
      </c>
      <c r="K66" t="str">
        <v>Trailer</v>
      </c>
      <c r="L66" t="str">
        <v>Standard</v>
      </c>
      <c r="P66">
        <f t="shared" si="0"/>
        <v>3</v>
      </c>
    </row>
    <row r="67" spans="1:16" ht="14.5" x14ac:dyDescent="0.35">
      <c r="A67" s="12">
        <v>66</v>
      </c>
      <c r="B67" s="13" t="s">
        <v>11</v>
      </c>
      <c r="C67" s="12">
        <v>623</v>
      </c>
      <c r="D67" s="12">
        <v>2014</v>
      </c>
      <c r="E67" s="13" t="s">
        <v>74</v>
      </c>
      <c r="F67" s="13" t="s">
        <v>10</v>
      </c>
      <c r="G67" s="15">
        <v>44484</v>
      </c>
      <c r="H67" s="12">
        <v>105</v>
      </c>
      <c r="I67" t="str">
        <v>Gisborne</v>
      </c>
      <c r="J67" t="str">
        <v>New Zealand</v>
      </c>
      <c r="K67" t="str">
        <v>Trailer</v>
      </c>
      <c r="L67" t="str">
        <v>Standard</v>
      </c>
      <c r="P67">
        <f t="shared" ref="P67:P130" si="1">COUNTIFS($G$2:$G$501,G67,$K$2:$K$501,K67)</f>
        <v>1</v>
      </c>
    </row>
    <row r="68" spans="1:16" ht="14.5" x14ac:dyDescent="0.35">
      <c r="A68" s="12">
        <v>67</v>
      </c>
      <c r="B68" s="13" t="s">
        <v>75</v>
      </c>
      <c r="C68" s="12">
        <v>540</v>
      </c>
      <c r="D68" s="12">
        <v>2006</v>
      </c>
      <c r="E68" s="13" t="s">
        <v>76</v>
      </c>
      <c r="F68" s="13" t="s">
        <v>28</v>
      </c>
      <c r="G68" s="15">
        <v>44485</v>
      </c>
      <c r="H68" s="12">
        <v>105</v>
      </c>
      <c r="I68" t="str">
        <v>Gisborne</v>
      </c>
      <c r="J68" t="str">
        <v>New Zealand</v>
      </c>
      <c r="K68" t="str">
        <v>Ford</v>
      </c>
      <c r="L68" t="str">
        <v>Standard</v>
      </c>
      <c r="P68">
        <f t="shared" si="1"/>
        <v>1</v>
      </c>
    </row>
    <row r="69" spans="1:16" ht="14.5" x14ac:dyDescent="0.35">
      <c r="A69" s="12">
        <v>68</v>
      </c>
      <c r="B69" s="13" t="s">
        <v>37</v>
      </c>
      <c r="C69" s="12">
        <v>623</v>
      </c>
      <c r="D69" s="12">
        <v>2014</v>
      </c>
      <c r="E69" s="13" t="s">
        <v>77</v>
      </c>
      <c r="F69" s="13" t="s">
        <v>10</v>
      </c>
      <c r="G69" s="15">
        <v>44486</v>
      </c>
      <c r="H69" s="12">
        <v>105</v>
      </c>
      <c r="I69" t="str">
        <v>Gisborne</v>
      </c>
      <c r="J69" t="str">
        <v>New Zealand</v>
      </c>
      <c r="K69" t="str">
        <v>Trailer</v>
      </c>
      <c r="L69" t="str">
        <v>Standard</v>
      </c>
      <c r="P69">
        <f t="shared" si="1"/>
        <v>1</v>
      </c>
    </row>
    <row r="70" spans="1:16" ht="14.5" x14ac:dyDescent="0.35">
      <c r="A70" s="12">
        <v>69</v>
      </c>
      <c r="B70" s="13" t="s">
        <v>8</v>
      </c>
      <c r="C70" s="12">
        <v>623</v>
      </c>
      <c r="D70" s="12">
        <v>2014</v>
      </c>
      <c r="E70" s="13" t="s">
        <v>78</v>
      </c>
      <c r="F70" s="13" t="s">
        <v>10</v>
      </c>
      <c r="G70" s="15">
        <v>44487</v>
      </c>
      <c r="H70" s="12">
        <v>114</v>
      </c>
      <c r="I70" t="str">
        <v>Canterbury</v>
      </c>
      <c r="J70" t="str">
        <v>New Zealand</v>
      </c>
      <c r="K70" t="str">
        <v>Trailer</v>
      </c>
      <c r="L70" t="str">
        <v>Standard</v>
      </c>
      <c r="P70">
        <f t="shared" si="1"/>
        <v>2</v>
      </c>
    </row>
    <row r="71" spans="1:16" ht="14.5" x14ac:dyDescent="0.35">
      <c r="A71" s="12">
        <v>70</v>
      </c>
      <c r="B71" s="13" t="s">
        <v>11</v>
      </c>
      <c r="C71" s="12">
        <v>551</v>
      </c>
      <c r="D71" s="12">
        <v>2014</v>
      </c>
      <c r="E71" s="13" t="s">
        <v>79</v>
      </c>
      <c r="F71" s="13" t="s">
        <v>10</v>
      </c>
      <c r="G71" s="15">
        <v>44487</v>
      </c>
      <c r="H71" s="12">
        <v>103</v>
      </c>
      <c r="I71" t="str">
        <v>Waikato</v>
      </c>
      <c r="J71" t="str">
        <v>New Zealand</v>
      </c>
      <c r="K71" t="str">
        <v>Hoskings</v>
      </c>
      <c r="L71" t="str">
        <v>Standard</v>
      </c>
      <c r="P71">
        <f t="shared" si="1"/>
        <v>1</v>
      </c>
    </row>
    <row r="72" spans="1:16" ht="14.5" x14ac:dyDescent="0.35">
      <c r="A72" s="12">
        <v>71</v>
      </c>
      <c r="B72" s="13" t="s">
        <v>8</v>
      </c>
      <c r="C72" s="12">
        <v>623</v>
      </c>
      <c r="D72" s="12">
        <v>2014</v>
      </c>
      <c r="E72" s="13" t="s">
        <v>53</v>
      </c>
      <c r="F72" s="13" t="s">
        <v>10</v>
      </c>
      <c r="G72" s="15">
        <v>44487</v>
      </c>
      <c r="H72" s="12">
        <v>107</v>
      </c>
      <c r="I72" t="str">
        <v>Taranaki</v>
      </c>
      <c r="J72" t="str">
        <v>New Zealand</v>
      </c>
      <c r="K72" t="str">
        <v>Trailer</v>
      </c>
      <c r="L72" t="str">
        <v>Standard</v>
      </c>
      <c r="P72">
        <f t="shared" si="1"/>
        <v>2</v>
      </c>
    </row>
    <row r="73" spans="1:16" ht="14.5" x14ac:dyDescent="0.35">
      <c r="A73" s="12">
        <v>72</v>
      </c>
      <c r="B73" s="13" t="s">
        <v>8</v>
      </c>
      <c r="C73" s="12">
        <v>623</v>
      </c>
      <c r="D73" s="12">
        <v>2014</v>
      </c>
      <c r="E73" s="13" t="s">
        <v>80</v>
      </c>
      <c r="F73" s="13" t="s">
        <v>10</v>
      </c>
      <c r="G73" s="15">
        <v>44488</v>
      </c>
      <c r="H73" s="12">
        <v>102</v>
      </c>
      <c r="I73" t="str">
        <v>Auckland</v>
      </c>
      <c r="J73" t="str">
        <v>New Zealand</v>
      </c>
      <c r="K73" t="str">
        <v>Trailer</v>
      </c>
      <c r="L73" t="str">
        <v>Standard</v>
      </c>
      <c r="P73">
        <f t="shared" si="1"/>
        <v>4</v>
      </c>
    </row>
    <row r="74" spans="1:16" ht="14.5" x14ac:dyDescent="0.35">
      <c r="A74" s="12">
        <v>73</v>
      </c>
      <c r="B74" s="13" t="s">
        <v>8</v>
      </c>
      <c r="C74" s="12">
        <v>623</v>
      </c>
      <c r="D74" s="12">
        <v>2014</v>
      </c>
      <c r="E74" s="13" t="s">
        <v>81</v>
      </c>
      <c r="F74" s="13" t="s">
        <v>10</v>
      </c>
      <c r="G74" s="15">
        <v>44488</v>
      </c>
      <c r="H74" s="12">
        <v>114</v>
      </c>
      <c r="I74" t="str">
        <v>Canterbury</v>
      </c>
      <c r="J74" t="str">
        <v>New Zealand</v>
      </c>
      <c r="K74" t="str">
        <v>Trailer</v>
      </c>
      <c r="L74" t="str">
        <v>Standard</v>
      </c>
      <c r="P74">
        <f t="shared" si="1"/>
        <v>4</v>
      </c>
    </row>
    <row r="75" spans="1:16" ht="14.5" x14ac:dyDescent="0.35">
      <c r="A75" s="12">
        <v>74</v>
      </c>
      <c r="B75" s="13" t="s">
        <v>61</v>
      </c>
      <c r="C75" s="12">
        <v>591</v>
      </c>
      <c r="D75" s="12">
        <v>1969</v>
      </c>
      <c r="E75" s="13" t="s">
        <v>82</v>
      </c>
      <c r="F75" s="13" t="s">
        <v>32</v>
      </c>
      <c r="G75" s="15">
        <v>44488</v>
      </c>
      <c r="H75" s="12">
        <v>104</v>
      </c>
      <c r="I75" t="str">
        <v>Bay of Plenty</v>
      </c>
      <c r="J75" t="str">
        <v>New Zealand</v>
      </c>
      <c r="K75" t="str">
        <v>Oxford</v>
      </c>
      <c r="L75" t="str">
        <v>Standard</v>
      </c>
      <c r="P75">
        <f t="shared" si="1"/>
        <v>1</v>
      </c>
    </row>
    <row r="76" spans="1:16" ht="14.5" x14ac:dyDescent="0.35">
      <c r="A76" s="12">
        <v>75</v>
      </c>
      <c r="B76" s="13" t="s">
        <v>83</v>
      </c>
      <c r="C76" s="12">
        <v>512</v>
      </c>
      <c r="D76" s="12">
        <v>2007</v>
      </c>
      <c r="E76" s="13" t="s">
        <v>84</v>
      </c>
      <c r="F76" s="13" t="s">
        <v>32</v>
      </c>
      <c r="G76" s="15">
        <v>44488</v>
      </c>
      <c r="H76" s="12">
        <v>102</v>
      </c>
      <c r="I76" t="str">
        <v>Auckland</v>
      </c>
      <c r="J76" t="str">
        <v>New Zealand</v>
      </c>
      <c r="K76" t="str">
        <v>BMW</v>
      </c>
      <c r="L76" t="str">
        <v>Luxury</v>
      </c>
      <c r="P76">
        <f t="shared" si="1"/>
        <v>1</v>
      </c>
    </row>
    <row r="77" spans="1:16" ht="14.5" x14ac:dyDescent="0.35">
      <c r="A77" s="12">
        <v>76</v>
      </c>
      <c r="B77" s="13" t="s">
        <v>8</v>
      </c>
      <c r="C77" s="12">
        <v>623</v>
      </c>
      <c r="D77" s="12">
        <v>2015</v>
      </c>
      <c r="E77" s="13" t="s">
        <v>85</v>
      </c>
      <c r="F77" s="13" t="s">
        <v>10</v>
      </c>
      <c r="G77" s="15">
        <v>44488</v>
      </c>
      <c r="H77" s="12">
        <v>102</v>
      </c>
      <c r="I77" t="str">
        <v>Auckland</v>
      </c>
      <c r="J77" t="str">
        <v>New Zealand</v>
      </c>
      <c r="K77" t="str">
        <v>Trailer</v>
      </c>
      <c r="L77" t="str">
        <v>Standard</v>
      </c>
      <c r="P77">
        <f t="shared" si="1"/>
        <v>4</v>
      </c>
    </row>
    <row r="78" spans="1:16" ht="14.5" x14ac:dyDescent="0.35">
      <c r="A78" s="12">
        <v>77</v>
      </c>
      <c r="B78" s="13" t="s">
        <v>8</v>
      </c>
      <c r="C78" s="12">
        <v>623</v>
      </c>
      <c r="D78" s="12">
        <v>2011</v>
      </c>
      <c r="E78" s="13" t="s">
        <v>23</v>
      </c>
      <c r="F78" s="13" t="s">
        <v>45</v>
      </c>
      <c r="G78" s="15">
        <v>44488</v>
      </c>
      <c r="H78" s="12">
        <v>102</v>
      </c>
      <c r="I78" t="str">
        <v>Auckland</v>
      </c>
      <c r="J78" t="str">
        <v>New Zealand</v>
      </c>
      <c r="K78" t="str">
        <v>Trailer</v>
      </c>
      <c r="L78" t="str">
        <v>Standard</v>
      </c>
      <c r="P78">
        <f t="shared" si="1"/>
        <v>4</v>
      </c>
    </row>
    <row r="79" spans="1:16" ht="14.5" x14ac:dyDescent="0.35">
      <c r="A79" s="12">
        <v>78</v>
      </c>
      <c r="B79" s="13" t="s">
        <v>11</v>
      </c>
      <c r="C79" s="12">
        <v>623</v>
      </c>
      <c r="D79" s="12">
        <v>2015</v>
      </c>
      <c r="E79" s="13" t="s">
        <v>86</v>
      </c>
      <c r="F79" s="13" t="s">
        <v>10</v>
      </c>
      <c r="G79" s="15">
        <v>44490</v>
      </c>
      <c r="H79" s="12">
        <v>104</v>
      </c>
      <c r="I79" t="str">
        <v>Bay of Plenty</v>
      </c>
      <c r="J79" t="str">
        <v>New Zealand</v>
      </c>
      <c r="K79" t="str">
        <v>Trailer</v>
      </c>
      <c r="L79" t="str">
        <v>Standard</v>
      </c>
      <c r="P79">
        <f t="shared" si="1"/>
        <v>4</v>
      </c>
    </row>
    <row r="80" spans="1:16" ht="14.5" x14ac:dyDescent="0.35">
      <c r="A80" s="12">
        <v>79</v>
      </c>
      <c r="B80" s="13" t="s">
        <v>8</v>
      </c>
      <c r="C80" s="12">
        <v>623</v>
      </c>
      <c r="D80" s="12">
        <v>2015</v>
      </c>
      <c r="E80" s="13" t="s">
        <v>53</v>
      </c>
      <c r="F80" s="13" t="s">
        <v>10</v>
      </c>
      <c r="G80" s="15">
        <v>44490</v>
      </c>
      <c r="H80" s="12">
        <v>106</v>
      </c>
      <c r="I80" t="str">
        <v>Hawke's Bay</v>
      </c>
      <c r="J80" t="str">
        <v>New Zealand</v>
      </c>
      <c r="K80" t="str">
        <v>Trailer</v>
      </c>
      <c r="L80" t="str">
        <v>Standard</v>
      </c>
      <c r="P80">
        <f t="shared" si="1"/>
        <v>4</v>
      </c>
    </row>
    <row r="81" spans="1:16" ht="14.5" x14ac:dyDescent="0.35">
      <c r="A81" s="12">
        <v>80</v>
      </c>
      <c r="B81" s="13" t="s">
        <v>8</v>
      </c>
      <c r="C81" s="12">
        <v>623</v>
      </c>
      <c r="D81" s="12">
        <v>2015</v>
      </c>
      <c r="E81" s="13" t="s">
        <v>87</v>
      </c>
      <c r="F81" s="13" t="s">
        <v>10</v>
      </c>
      <c r="G81" s="15">
        <v>44490</v>
      </c>
      <c r="H81" s="12">
        <v>114</v>
      </c>
      <c r="I81" t="str">
        <v>Canterbury</v>
      </c>
      <c r="J81" t="str">
        <v>New Zealand</v>
      </c>
      <c r="K81" t="str">
        <v>Trailer</v>
      </c>
      <c r="L81" t="str">
        <v>Standard</v>
      </c>
      <c r="P81">
        <f t="shared" si="1"/>
        <v>4</v>
      </c>
    </row>
    <row r="82" spans="1:16" ht="14.5" x14ac:dyDescent="0.35">
      <c r="A82" s="12">
        <v>81</v>
      </c>
      <c r="B82" s="13" t="s">
        <v>8</v>
      </c>
      <c r="C82" s="12">
        <v>623</v>
      </c>
      <c r="D82" s="12">
        <v>2015</v>
      </c>
      <c r="E82" s="13" t="s">
        <v>88</v>
      </c>
      <c r="F82" s="13" t="s">
        <v>10</v>
      </c>
      <c r="G82" s="15">
        <v>44490</v>
      </c>
      <c r="H82" s="12">
        <v>102</v>
      </c>
      <c r="I82" t="str">
        <v>Auckland</v>
      </c>
      <c r="J82" t="str">
        <v>New Zealand</v>
      </c>
      <c r="K82" t="str">
        <v>Trailer</v>
      </c>
      <c r="L82" t="str">
        <v>Standard</v>
      </c>
      <c r="P82">
        <f t="shared" si="1"/>
        <v>4</v>
      </c>
    </row>
    <row r="83" spans="1:16" ht="14.5" x14ac:dyDescent="0.35">
      <c r="A83" s="12">
        <v>82</v>
      </c>
      <c r="B83" s="13" t="s">
        <v>8</v>
      </c>
      <c r="C83" s="12">
        <v>623</v>
      </c>
      <c r="D83" s="12">
        <v>2015</v>
      </c>
      <c r="E83" s="13" t="s">
        <v>33</v>
      </c>
      <c r="F83" s="13" t="s">
        <v>10</v>
      </c>
      <c r="G83" s="15">
        <v>44491</v>
      </c>
      <c r="H83" s="12">
        <v>103</v>
      </c>
      <c r="I83" t="str">
        <v>Waikato</v>
      </c>
      <c r="J83" t="str">
        <v>New Zealand</v>
      </c>
      <c r="K83" t="str">
        <v>Trailer</v>
      </c>
      <c r="L83" t="str">
        <v>Standard</v>
      </c>
      <c r="P83">
        <f t="shared" si="1"/>
        <v>2</v>
      </c>
    </row>
    <row r="84" spans="1:16" ht="14.5" x14ac:dyDescent="0.35">
      <c r="A84" s="12">
        <v>83</v>
      </c>
      <c r="B84" s="13" t="s">
        <v>37</v>
      </c>
      <c r="C84" s="12">
        <v>623</v>
      </c>
      <c r="D84" s="12">
        <v>1998</v>
      </c>
      <c r="E84" s="13" t="s">
        <v>89</v>
      </c>
      <c r="F84" s="13" t="s">
        <v>32</v>
      </c>
      <c r="G84" s="15">
        <v>44491</v>
      </c>
      <c r="H84" s="12">
        <v>104</v>
      </c>
      <c r="I84" t="str">
        <v>Bay of Plenty</v>
      </c>
      <c r="J84" t="str">
        <v>New Zealand</v>
      </c>
      <c r="K84" t="str">
        <v>Trailer</v>
      </c>
      <c r="L84" t="str">
        <v>Standard</v>
      </c>
      <c r="P84">
        <f t="shared" si="1"/>
        <v>2</v>
      </c>
    </row>
    <row r="85" spans="1:16" ht="14.5" x14ac:dyDescent="0.35">
      <c r="A85" s="12">
        <v>84</v>
      </c>
      <c r="B85" s="13" t="s">
        <v>90</v>
      </c>
      <c r="C85" s="12">
        <v>507</v>
      </c>
      <c r="D85" s="12">
        <v>2015</v>
      </c>
      <c r="E85" s="13" t="s">
        <v>91</v>
      </c>
      <c r="F85" s="13" t="s">
        <v>10</v>
      </c>
      <c r="G85" s="15">
        <v>44493</v>
      </c>
      <c r="H85" s="12">
        <v>109</v>
      </c>
      <c r="I85" t="str">
        <v>Wellington</v>
      </c>
      <c r="J85" t="str">
        <v>New Zealand</v>
      </c>
      <c r="K85" t="str">
        <v>Audi</v>
      </c>
      <c r="L85" t="str">
        <v>Standard</v>
      </c>
      <c r="P85">
        <f t="shared" si="1"/>
        <v>1</v>
      </c>
    </row>
    <row r="86" spans="1:16" ht="14.5" x14ac:dyDescent="0.35">
      <c r="A86" s="12">
        <v>85</v>
      </c>
      <c r="B86" s="13" t="s">
        <v>8</v>
      </c>
      <c r="C86" s="12">
        <v>623</v>
      </c>
      <c r="D86" s="12">
        <v>2015</v>
      </c>
      <c r="E86" s="13" t="s">
        <v>92</v>
      </c>
      <c r="F86" s="13" t="s">
        <v>10</v>
      </c>
      <c r="G86" s="15">
        <v>44493</v>
      </c>
      <c r="H86" s="12">
        <v>114</v>
      </c>
      <c r="I86" t="str">
        <v>Canterbury</v>
      </c>
      <c r="J86" t="str">
        <v>New Zealand</v>
      </c>
      <c r="K86" t="str">
        <v>Trailer</v>
      </c>
      <c r="L86" t="str">
        <v>Standard</v>
      </c>
      <c r="P86">
        <f t="shared" si="1"/>
        <v>1</v>
      </c>
    </row>
    <row r="87" spans="1:16" ht="14.5" x14ac:dyDescent="0.35">
      <c r="A87" s="12">
        <v>86</v>
      </c>
      <c r="B87" s="13" t="s">
        <v>16</v>
      </c>
      <c r="C87" s="12">
        <v>629</v>
      </c>
      <c r="D87" s="12">
        <v>2001</v>
      </c>
      <c r="E87" s="13" t="s">
        <v>93</v>
      </c>
      <c r="F87" s="13" t="s">
        <v>10</v>
      </c>
      <c r="G87" s="15">
        <v>44493</v>
      </c>
      <c r="H87" s="12">
        <v>102</v>
      </c>
      <c r="I87" t="str">
        <v>Auckland</v>
      </c>
      <c r="J87" t="str">
        <v>New Zealand</v>
      </c>
      <c r="K87" t="str">
        <v>Vespa</v>
      </c>
      <c r="L87" t="str">
        <v>Standard</v>
      </c>
      <c r="P87">
        <f t="shared" si="1"/>
        <v>1</v>
      </c>
    </row>
    <row r="88" spans="1:16" ht="14.5" x14ac:dyDescent="0.35">
      <c r="A88" s="12">
        <v>87</v>
      </c>
      <c r="B88" s="13" t="s">
        <v>8</v>
      </c>
      <c r="C88" s="12">
        <v>623</v>
      </c>
      <c r="D88" s="12">
        <v>2015</v>
      </c>
      <c r="E88" s="13" t="s">
        <v>94</v>
      </c>
      <c r="F88" s="13" t="s">
        <v>10</v>
      </c>
      <c r="G88" s="15">
        <v>44494</v>
      </c>
      <c r="H88" s="12">
        <v>114</v>
      </c>
      <c r="I88" t="str">
        <v>Canterbury</v>
      </c>
      <c r="J88" t="str">
        <v>New Zealand</v>
      </c>
      <c r="K88" t="str">
        <v>Trailer</v>
      </c>
      <c r="L88" t="str">
        <v>Standard</v>
      </c>
      <c r="P88">
        <f t="shared" si="1"/>
        <v>2</v>
      </c>
    </row>
    <row r="89" spans="1:16" ht="14.5" x14ac:dyDescent="0.35">
      <c r="A89" s="12">
        <v>88</v>
      </c>
      <c r="B89" s="13" t="s">
        <v>8</v>
      </c>
      <c r="C89" s="12">
        <v>623</v>
      </c>
      <c r="D89" s="12">
        <v>1984</v>
      </c>
      <c r="E89" s="13" t="s">
        <v>36</v>
      </c>
      <c r="F89" s="13" t="s">
        <v>66</v>
      </c>
      <c r="G89" s="15">
        <v>44494</v>
      </c>
      <c r="H89" s="12">
        <v>102</v>
      </c>
      <c r="I89" t="str">
        <v>Auckland</v>
      </c>
      <c r="J89" t="str">
        <v>New Zealand</v>
      </c>
      <c r="K89" t="str">
        <v>Trailer</v>
      </c>
      <c r="L89" t="str">
        <v>Standard</v>
      </c>
      <c r="P89">
        <f t="shared" si="1"/>
        <v>2</v>
      </c>
    </row>
    <row r="90" spans="1:16" ht="14.5" x14ac:dyDescent="0.35">
      <c r="A90" s="12">
        <v>89</v>
      </c>
      <c r="B90" s="13" t="s">
        <v>8</v>
      </c>
      <c r="C90" s="12">
        <v>623</v>
      </c>
      <c r="D90" s="12">
        <v>2015</v>
      </c>
      <c r="E90" s="13" t="s">
        <v>71</v>
      </c>
      <c r="F90" s="13" t="s">
        <v>10</v>
      </c>
      <c r="G90" s="15">
        <v>44495</v>
      </c>
      <c r="H90" s="12">
        <v>103</v>
      </c>
      <c r="I90" t="str">
        <v>Waikato</v>
      </c>
      <c r="J90" t="str">
        <v>New Zealand</v>
      </c>
      <c r="K90" t="str">
        <v>Trailer</v>
      </c>
      <c r="L90" t="str">
        <v>Standard</v>
      </c>
      <c r="P90">
        <f t="shared" si="1"/>
        <v>1</v>
      </c>
    </row>
    <row r="91" spans="1:16" ht="14.5" x14ac:dyDescent="0.35">
      <c r="A91" s="12">
        <v>90</v>
      </c>
      <c r="B91" s="13" t="s">
        <v>11</v>
      </c>
      <c r="C91" s="12">
        <v>623</v>
      </c>
      <c r="D91" s="12">
        <v>2008</v>
      </c>
      <c r="E91" s="13" t="s">
        <v>20</v>
      </c>
      <c r="F91" s="13" t="s">
        <v>10</v>
      </c>
      <c r="G91" s="15">
        <v>44496</v>
      </c>
      <c r="H91" s="12">
        <v>104</v>
      </c>
      <c r="I91" t="str">
        <v>Bay of Plenty</v>
      </c>
      <c r="J91" t="str">
        <v>New Zealand</v>
      </c>
      <c r="K91" t="str">
        <v>Trailer</v>
      </c>
      <c r="L91" t="str">
        <v>Standard</v>
      </c>
      <c r="P91">
        <f t="shared" si="1"/>
        <v>2</v>
      </c>
    </row>
    <row r="92" spans="1:16" ht="14.5" x14ac:dyDescent="0.35">
      <c r="A92" s="12">
        <v>91</v>
      </c>
      <c r="B92" s="13" t="s">
        <v>8</v>
      </c>
      <c r="C92" s="12">
        <v>623</v>
      </c>
      <c r="D92" s="12">
        <v>1990</v>
      </c>
      <c r="E92" s="13" t="s">
        <v>23</v>
      </c>
      <c r="F92" s="13" t="s">
        <v>28</v>
      </c>
      <c r="G92" s="15">
        <v>44496</v>
      </c>
      <c r="H92" s="12">
        <v>104</v>
      </c>
      <c r="I92" t="str">
        <v>Bay of Plenty</v>
      </c>
      <c r="J92" t="str">
        <v>New Zealand</v>
      </c>
      <c r="K92" t="str">
        <v>Trailer</v>
      </c>
      <c r="L92" t="str">
        <v>Standard</v>
      </c>
      <c r="P92">
        <f t="shared" si="1"/>
        <v>2</v>
      </c>
    </row>
    <row r="93" spans="1:16" ht="14.5" x14ac:dyDescent="0.35">
      <c r="A93" s="12">
        <v>92</v>
      </c>
      <c r="B93" s="13" t="s">
        <v>8</v>
      </c>
      <c r="C93" s="12">
        <v>623</v>
      </c>
      <c r="D93" s="12">
        <v>2000</v>
      </c>
      <c r="E93" s="13" t="s">
        <v>54</v>
      </c>
      <c r="F93" s="13" t="s">
        <v>10</v>
      </c>
      <c r="G93" s="15">
        <v>44497</v>
      </c>
      <c r="H93" s="12">
        <v>104</v>
      </c>
      <c r="I93" t="str">
        <v>Bay of Plenty</v>
      </c>
      <c r="J93" t="str">
        <v>New Zealand</v>
      </c>
      <c r="K93" t="str">
        <v>Trailer</v>
      </c>
      <c r="L93" t="str">
        <v>Standard</v>
      </c>
      <c r="P93">
        <f t="shared" si="1"/>
        <v>2</v>
      </c>
    </row>
    <row r="94" spans="1:16" ht="14.5" x14ac:dyDescent="0.35">
      <c r="A94" s="12">
        <v>93</v>
      </c>
      <c r="B94" s="13" t="s">
        <v>8</v>
      </c>
      <c r="C94" s="12">
        <v>549</v>
      </c>
      <c r="D94" s="12">
        <v>1996</v>
      </c>
      <c r="E94" s="13" t="s">
        <v>46</v>
      </c>
      <c r="F94" s="13" t="s">
        <v>10</v>
      </c>
      <c r="G94" s="15">
        <v>44497</v>
      </c>
      <c r="H94" s="12">
        <v>102</v>
      </c>
      <c r="I94" t="str">
        <v>Auckland</v>
      </c>
      <c r="J94" t="str">
        <v>New Zealand</v>
      </c>
      <c r="K94" t="str">
        <v>Homebuilt</v>
      </c>
      <c r="L94" t="str">
        <v>Standard</v>
      </c>
      <c r="P94">
        <f t="shared" si="1"/>
        <v>1</v>
      </c>
    </row>
    <row r="95" spans="1:16" ht="14.5" x14ac:dyDescent="0.35">
      <c r="A95" s="12">
        <v>94</v>
      </c>
      <c r="B95" s="13" t="s">
        <v>8</v>
      </c>
      <c r="C95" s="12">
        <v>623</v>
      </c>
      <c r="D95" s="12">
        <v>2018</v>
      </c>
      <c r="E95" s="13" t="s">
        <v>95</v>
      </c>
      <c r="F95" s="13" t="s">
        <v>10</v>
      </c>
      <c r="G95" s="15">
        <v>44497</v>
      </c>
      <c r="H95" s="12">
        <v>102</v>
      </c>
      <c r="I95" t="str">
        <v>Auckland</v>
      </c>
      <c r="J95" t="str">
        <v>New Zealand</v>
      </c>
      <c r="K95" t="str">
        <v>Trailer</v>
      </c>
      <c r="L95" t="str">
        <v>Standard</v>
      </c>
      <c r="P95">
        <f t="shared" si="1"/>
        <v>2</v>
      </c>
    </row>
    <row r="96" spans="1:16" ht="14.5" x14ac:dyDescent="0.35">
      <c r="A96" s="12">
        <v>95</v>
      </c>
      <c r="B96" s="13" t="s">
        <v>8</v>
      </c>
      <c r="C96" s="12">
        <v>616</v>
      </c>
      <c r="D96" s="12">
        <v>2018</v>
      </c>
      <c r="E96" s="13" t="s">
        <v>33</v>
      </c>
      <c r="F96" s="13" t="s">
        <v>10</v>
      </c>
      <c r="G96" s="15">
        <v>44498</v>
      </c>
      <c r="H96" s="12">
        <v>102</v>
      </c>
      <c r="I96" t="str">
        <v>Auckland</v>
      </c>
      <c r="J96" t="str">
        <v>New Zealand</v>
      </c>
      <c r="K96" t="str">
        <v>Titan</v>
      </c>
      <c r="L96" t="str">
        <v>Standard</v>
      </c>
      <c r="P96">
        <f t="shared" si="1"/>
        <v>1</v>
      </c>
    </row>
    <row r="97" spans="1:16" ht="14.5" x14ac:dyDescent="0.35">
      <c r="A97" s="12">
        <v>96</v>
      </c>
      <c r="B97" s="13" t="s">
        <v>8</v>
      </c>
      <c r="C97" s="12">
        <v>527</v>
      </c>
      <c r="D97" s="12">
        <v>1985</v>
      </c>
      <c r="E97" s="13" t="s">
        <v>57</v>
      </c>
      <c r="F97" s="13" t="s">
        <v>10</v>
      </c>
      <c r="G97" s="15">
        <v>44498</v>
      </c>
      <c r="H97" s="12">
        <v>102</v>
      </c>
      <c r="I97" t="str">
        <v>Auckland</v>
      </c>
      <c r="J97" t="str">
        <v>New Zealand</v>
      </c>
      <c r="K97" t="str">
        <v>Custombuilt</v>
      </c>
      <c r="L97" t="str">
        <v>Standard</v>
      </c>
      <c r="P97">
        <f t="shared" si="1"/>
        <v>1</v>
      </c>
    </row>
    <row r="98" spans="1:16" ht="14.5" x14ac:dyDescent="0.35">
      <c r="A98" s="12">
        <v>97</v>
      </c>
      <c r="B98" s="13" t="s">
        <v>16</v>
      </c>
      <c r="C98" s="12">
        <v>550</v>
      </c>
      <c r="D98" s="12">
        <v>2005</v>
      </c>
      <c r="E98" s="13" t="s">
        <v>96</v>
      </c>
      <c r="F98" s="13" t="s">
        <v>69</v>
      </c>
      <c r="G98" s="15">
        <v>44498</v>
      </c>
      <c r="H98" s="12">
        <v>102</v>
      </c>
      <c r="I98" t="str">
        <v>Auckland</v>
      </c>
      <c r="J98" t="str">
        <v>New Zealand</v>
      </c>
      <c r="K98" t="str">
        <v>Honda</v>
      </c>
      <c r="L98" t="str">
        <v>Standard</v>
      </c>
      <c r="P98">
        <f t="shared" si="1"/>
        <v>2</v>
      </c>
    </row>
    <row r="99" spans="1:16" ht="14.5" x14ac:dyDescent="0.35">
      <c r="A99" s="12">
        <v>98</v>
      </c>
      <c r="B99" s="13" t="s">
        <v>16</v>
      </c>
      <c r="C99" s="12">
        <v>550</v>
      </c>
      <c r="D99" s="12">
        <v>2000</v>
      </c>
      <c r="E99" s="13" t="s">
        <v>97</v>
      </c>
      <c r="F99" s="13" t="s">
        <v>28</v>
      </c>
      <c r="G99" s="15">
        <v>44498</v>
      </c>
      <c r="H99" s="12">
        <v>114</v>
      </c>
      <c r="I99" t="str">
        <v>Canterbury</v>
      </c>
      <c r="J99" t="str">
        <v>New Zealand</v>
      </c>
      <c r="K99" t="str">
        <v>Honda</v>
      </c>
      <c r="L99" t="str">
        <v>Standard</v>
      </c>
      <c r="P99">
        <f t="shared" si="1"/>
        <v>2</v>
      </c>
    </row>
    <row r="100" spans="1:16" ht="14.5" x14ac:dyDescent="0.35">
      <c r="A100" s="12">
        <v>99</v>
      </c>
      <c r="B100" s="13" t="s">
        <v>8</v>
      </c>
      <c r="C100" s="12">
        <v>623</v>
      </c>
      <c r="D100" s="12">
        <v>2022</v>
      </c>
      <c r="E100" s="13" t="s">
        <v>23</v>
      </c>
      <c r="F100" s="13" t="s">
        <v>18</v>
      </c>
      <c r="G100" s="15">
        <v>44498</v>
      </c>
      <c r="H100" s="12">
        <v>102</v>
      </c>
      <c r="I100" t="str">
        <v>Auckland</v>
      </c>
      <c r="J100" t="str">
        <v>New Zealand</v>
      </c>
      <c r="K100" t="str">
        <v>Trailer</v>
      </c>
      <c r="L100" t="str">
        <v>Standard</v>
      </c>
      <c r="P100">
        <f t="shared" si="1"/>
        <v>1</v>
      </c>
    </row>
    <row r="101" spans="1:16" ht="14.5" x14ac:dyDescent="0.35">
      <c r="A101" s="12">
        <v>100</v>
      </c>
      <c r="B101" s="13" t="s">
        <v>11</v>
      </c>
      <c r="C101" s="12">
        <v>623</v>
      </c>
      <c r="D101" s="12">
        <v>2021</v>
      </c>
      <c r="E101" s="13" t="s">
        <v>98</v>
      </c>
      <c r="F101" s="13" t="s">
        <v>45</v>
      </c>
      <c r="G101" s="15">
        <v>44499</v>
      </c>
      <c r="H101" s="12">
        <v>103</v>
      </c>
      <c r="I101" t="str">
        <v>Waikato</v>
      </c>
      <c r="J101" t="str">
        <v>New Zealand</v>
      </c>
      <c r="K101" t="str">
        <v>Trailer</v>
      </c>
      <c r="L101" t="str">
        <v>Standard</v>
      </c>
      <c r="P101">
        <f t="shared" si="1"/>
        <v>2</v>
      </c>
    </row>
    <row r="102" spans="1:16" ht="14.5" x14ac:dyDescent="0.35">
      <c r="A102" s="12">
        <v>101</v>
      </c>
      <c r="B102" s="13" t="s">
        <v>8</v>
      </c>
      <c r="C102" s="12">
        <v>623</v>
      </c>
      <c r="D102" s="12">
        <v>2000</v>
      </c>
      <c r="E102" s="13" t="s">
        <v>23</v>
      </c>
      <c r="F102" s="13" t="s">
        <v>10</v>
      </c>
      <c r="G102" s="15">
        <v>44499</v>
      </c>
      <c r="H102" s="12">
        <v>106</v>
      </c>
      <c r="I102" t="str">
        <v>Hawke's Bay</v>
      </c>
      <c r="J102" t="str">
        <v>New Zealand</v>
      </c>
      <c r="K102" t="str">
        <v>Trailer</v>
      </c>
      <c r="L102" t="str">
        <v>Standard</v>
      </c>
      <c r="P102">
        <f t="shared" si="1"/>
        <v>2</v>
      </c>
    </row>
    <row r="103" spans="1:16" ht="14.5" x14ac:dyDescent="0.35">
      <c r="A103" s="12">
        <v>102</v>
      </c>
      <c r="B103" s="13" t="s">
        <v>8</v>
      </c>
      <c r="C103" s="12">
        <v>549</v>
      </c>
      <c r="D103" s="12">
        <v>2022</v>
      </c>
      <c r="E103" s="13" t="s">
        <v>46</v>
      </c>
      <c r="F103" s="13" t="s">
        <v>18</v>
      </c>
      <c r="G103" s="15">
        <v>44500</v>
      </c>
      <c r="H103" s="12">
        <v>104</v>
      </c>
      <c r="I103" t="str">
        <v>Bay of Plenty</v>
      </c>
      <c r="J103" t="str">
        <v>New Zealand</v>
      </c>
      <c r="K103" t="str">
        <v>Homebuilt</v>
      </c>
      <c r="L103" t="str">
        <v>Standard</v>
      </c>
      <c r="P103">
        <f t="shared" si="1"/>
        <v>1</v>
      </c>
    </row>
    <row r="104" spans="1:16" ht="14.5" x14ac:dyDescent="0.35">
      <c r="A104" s="12">
        <v>103</v>
      </c>
      <c r="B104" s="13" t="s">
        <v>8</v>
      </c>
      <c r="C104" s="12">
        <v>623</v>
      </c>
      <c r="D104" s="12">
        <v>1998</v>
      </c>
      <c r="E104" s="13" t="s">
        <v>99</v>
      </c>
      <c r="F104" s="13" t="s">
        <v>32</v>
      </c>
      <c r="G104" s="15">
        <v>44500</v>
      </c>
      <c r="H104" s="12">
        <v>102</v>
      </c>
      <c r="I104" t="str">
        <v>Auckland</v>
      </c>
      <c r="J104" t="str">
        <v>New Zealand</v>
      </c>
      <c r="K104" t="str">
        <v>Trailer</v>
      </c>
      <c r="L104" t="str">
        <v>Standard</v>
      </c>
      <c r="P104">
        <f t="shared" si="1"/>
        <v>2</v>
      </c>
    </row>
    <row r="105" spans="1:16" ht="14.5" x14ac:dyDescent="0.35">
      <c r="A105" s="12">
        <v>104</v>
      </c>
      <c r="B105" s="13" t="s">
        <v>8</v>
      </c>
      <c r="C105" s="12">
        <v>623</v>
      </c>
      <c r="D105" s="12">
        <v>2018</v>
      </c>
      <c r="E105" s="13" t="s">
        <v>100</v>
      </c>
      <c r="F105" s="13" t="s">
        <v>10</v>
      </c>
      <c r="G105" s="15">
        <v>44500</v>
      </c>
      <c r="H105" s="12">
        <v>104</v>
      </c>
      <c r="I105" t="str">
        <v>Bay of Plenty</v>
      </c>
      <c r="J105" t="str">
        <v>New Zealand</v>
      </c>
      <c r="K105" t="str">
        <v>Trailer</v>
      </c>
      <c r="L105" t="str">
        <v>Standard</v>
      </c>
      <c r="P105">
        <f t="shared" si="1"/>
        <v>2</v>
      </c>
    </row>
    <row r="106" spans="1:16" ht="14.5" x14ac:dyDescent="0.35">
      <c r="A106" s="12">
        <v>105</v>
      </c>
      <c r="B106" s="13" t="s">
        <v>8</v>
      </c>
      <c r="C106" s="12">
        <v>623</v>
      </c>
      <c r="D106" s="12">
        <v>1977</v>
      </c>
      <c r="E106" s="13" t="s">
        <v>36</v>
      </c>
      <c r="F106" s="13" t="s">
        <v>101</v>
      </c>
      <c r="G106" s="14">
        <v>44510</v>
      </c>
      <c r="H106" s="12">
        <v>104</v>
      </c>
      <c r="I106" t="str">
        <v>Bay of Plenty</v>
      </c>
      <c r="J106" t="str">
        <v>New Zealand</v>
      </c>
      <c r="K106" t="str">
        <v>Trailer</v>
      </c>
      <c r="L106" t="str">
        <v>Standard</v>
      </c>
      <c r="P106">
        <f t="shared" si="1"/>
        <v>3</v>
      </c>
    </row>
    <row r="107" spans="1:16" ht="14.5" x14ac:dyDescent="0.35">
      <c r="A107" s="12">
        <v>106</v>
      </c>
      <c r="B107" s="13" t="s">
        <v>37</v>
      </c>
      <c r="C107" s="12">
        <v>623</v>
      </c>
      <c r="D107" s="12">
        <v>2018</v>
      </c>
      <c r="E107" s="13" t="s">
        <v>102</v>
      </c>
      <c r="F107" s="13" t="s">
        <v>10</v>
      </c>
      <c r="G107" s="14">
        <v>44510</v>
      </c>
      <c r="H107" s="12">
        <v>106</v>
      </c>
      <c r="I107" t="str">
        <v>Hawke's Bay</v>
      </c>
      <c r="J107" t="str">
        <v>New Zealand</v>
      </c>
      <c r="K107" t="str">
        <v>Trailer</v>
      </c>
      <c r="L107" t="str">
        <v>Standard</v>
      </c>
      <c r="P107">
        <f t="shared" si="1"/>
        <v>3</v>
      </c>
    </row>
    <row r="108" spans="1:16" ht="14.5" x14ac:dyDescent="0.35">
      <c r="A108" s="12">
        <v>107</v>
      </c>
      <c r="B108" s="13" t="s">
        <v>8</v>
      </c>
      <c r="C108" s="12">
        <v>623</v>
      </c>
      <c r="D108" s="12">
        <v>1980</v>
      </c>
      <c r="E108" s="13" t="s">
        <v>51</v>
      </c>
      <c r="F108" s="13" t="s">
        <v>28</v>
      </c>
      <c r="G108" s="14">
        <v>44510</v>
      </c>
      <c r="H108" s="12">
        <v>111</v>
      </c>
      <c r="I108" t="str">
        <v>Nelson</v>
      </c>
      <c r="J108" t="str">
        <v>New Zealand</v>
      </c>
      <c r="K108" t="str">
        <v>Trailer</v>
      </c>
      <c r="L108" t="str">
        <v>Standard</v>
      </c>
      <c r="P108">
        <f t="shared" si="1"/>
        <v>3</v>
      </c>
    </row>
    <row r="109" spans="1:16" ht="14.5" x14ac:dyDescent="0.35">
      <c r="A109" s="12">
        <v>108</v>
      </c>
      <c r="B109" s="13" t="s">
        <v>37</v>
      </c>
      <c r="C109" s="12">
        <v>623</v>
      </c>
      <c r="D109" s="12">
        <v>2018</v>
      </c>
      <c r="E109" s="13" t="s">
        <v>103</v>
      </c>
      <c r="F109" s="13" t="s">
        <v>32</v>
      </c>
      <c r="G109" s="14">
        <v>44511</v>
      </c>
      <c r="H109" s="12">
        <v>114</v>
      </c>
      <c r="I109" t="str">
        <v>Canterbury</v>
      </c>
      <c r="J109" t="str">
        <v>New Zealand</v>
      </c>
      <c r="K109" t="str">
        <v>Trailer</v>
      </c>
      <c r="L109" t="str">
        <v>Standard</v>
      </c>
      <c r="P109">
        <f t="shared" si="1"/>
        <v>1</v>
      </c>
    </row>
    <row r="110" spans="1:16" ht="14.5" x14ac:dyDescent="0.35">
      <c r="A110" s="12">
        <v>109</v>
      </c>
      <c r="B110" s="13" t="s">
        <v>8</v>
      </c>
      <c r="C110" s="12">
        <v>623</v>
      </c>
      <c r="D110" s="12">
        <v>2022</v>
      </c>
      <c r="E110" s="13" t="s">
        <v>46</v>
      </c>
      <c r="F110" s="13" t="s">
        <v>10</v>
      </c>
      <c r="G110" s="14">
        <v>44512</v>
      </c>
      <c r="H110" s="12">
        <v>102</v>
      </c>
      <c r="I110" t="str">
        <v>Auckland</v>
      </c>
      <c r="J110" t="str">
        <v>New Zealand</v>
      </c>
      <c r="K110" t="str">
        <v>Trailer</v>
      </c>
      <c r="L110" t="str">
        <v>Standard</v>
      </c>
      <c r="P110">
        <f t="shared" si="1"/>
        <v>2</v>
      </c>
    </row>
    <row r="111" spans="1:16" ht="14.5" x14ac:dyDescent="0.35">
      <c r="A111" s="12">
        <v>110</v>
      </c>
      <c r="B111" s="13" t="s">
        <v>8</v>
      </c>
      <c r="C111" s="12">
        <v>623</v>
      </c>
      <c r="D111" s="12">
        <v>2019</v>
      </c>
      <c r="E111" s="13" t="s">
        <v>57</v>
      </c>
      <c r="F111" s="13" t="s">
        <v>45</v>
      </c>
      <c r="G111" s="14">
        <v>44512</v>
      </c>
      <c r="H111" s="12">
        <v>109</v>
      </c>
      <c r="I111" t="str">
        <v>Wellington</v>
      </c>
      <c r="J111" t="str">
        <v>New Zealand</v>
      </c>
      <c r="K111" t="str">
        <v>Trailer</v>
      </c>
      <c r="L111" t="str">
        <v>Standard</v>
      </c>
      <c r="P111">
        <f t="shared" si="1"/>
        <v>2</v>
      </c>
    </row>
    <row r="112" spans="1:16" ht="14.5" x14ac:dyDescent="0.35">
      <c r="A112" s="12">
        <v>111</v>
      </c>
      <c r="B112" s="13" t="s">
        <v>8</v>
      </c>
      <c r="C112" s="12">
        <v>623</v>
      </c>
      <c r="D112" s="12">
        <v>2022</v>
      </c>
      <c r="E112" s="13" t="s">
        <v>104</v>
      </c>
      <c r="F112" s="13" t="s">
        <v>10</v>
      </c>
      <c r="G112" s="15">
        <v>44513</v>
      </c>
      <c r="H112" s="12">
        <v>106</v>
      </c>
      <c r="I112" t="str">
        <v>Hawke's Bay</v>
      </c>
      <c r="J112" t="str">
        <v>New Zealand</v>
      </c>
      <c r="K112" t="str">
        <v>Trailer</v>
      </c>
      <c r="L112" t="str">
        <v>Standard</v>
      </c>
      <c r="P112">
        <f t="shared" si="1"/>
        <v>2</v>
      </c>
    </row>
    <row r="113" spans="1:16" ht="14.5" x14ac:dyDescent="0.35">
      <c r="A113" s="12">
        <v>112</v>
      </c>
      <c r="B113" s="13" t="s">
        <v>16</v>
      </c>
      <c r="C113" s="12">
        <v>545</v>
      </c>
      <c r="D113" s="12">
        <v>2004</v>
      </c>
      <c r="E113" s="13" t="s">
        <v>105</v>
      </c>
      <c r="F113" s="13" t="s">
        <v>69</v>
      </c>
      <c r="G113" s="15">
        <v>44513</v>
      </c>
      <c r="H113" s="12">
        <v>102</v>
      </c>
      <c r="I113" t="str">
        <v>Auckland</v>
      </c>
      <c r="J113" t="str">
        <v>New Zealand</v>
      </c>
      <c r="K113" t="str">
        <v>Harley Davidson</v>
      </c>
      <c r="L113" t="str">
        <v>Standard</v>
      </c>
      <c r="P113">
        <f t="shared" si="1"/>
        <v>1</v>
      </c>
    </row>
    <row r="114" spans="1:16" ht="14.5" x14ac:dyDescent="0.35">
      <c r="A114" s="12">
        <v>113</v>
      </c>
      <c r="B114" s="13" t="s">
        <v>8</v>
      </c>
      <c r="C114" s="12">
        <v>623</v>
      </c>
      <c r="D114" s="12">
        <v>1967</v>
      </c>
      <c r="E114" s="13" t="s">
        <v>36</v>
      </c>
      <c r="F114" s="13" t="s">
        <v>45</v>
      </c>
      <c r="G114" s="15">
        <v>44513</v>
      </c>
      <c r="H114" s="12">
        <v>114</v>
      </c>
      <c r="I114" t="str">
        <v>Canterbury</v>
      </c>
      <c r="J114" t="str">
        <v>New Zealand</v>
      </c>
      <c r="K114" t="str">
        <v>Trailer</v>
      </c>
      <c r="L114" t="str">
        <v>Standard</v>
      </c>
      <c r="P114">
        <f t="shared" si="1"/>
        <v>2</v>
      </c>
    </row>
    <row r="115" spans="1:16" ht="14.5" x14ac:dyDescent="0.35">
      <c r="A115" s="12">
        <v>114</v>
      </c>
      <c r="B115" s="13" t="s">
        <v>61</v>
      </c>
      <c r="C115" s="12">
        <v>519</v>
      </c>
      <c r="D115" s="12">
        <v>2006</v>
      </c>
      <c r="E115" s="13" t="s">
        <v>106</v>
      </c>
      <c r="F115" s="13" t="s">
        <v>32</v>
      </c>
      <c r="G115" s="15">
        <v>44514</v>
      </c>
      <c r="H115" s="12">
        <v>102</v>
      </c>
      <c r="I115" t="str">
        <v>Auckland</v>
      </c>
      <c r="J115" t="str">
        <v>New Zealand</v>
      </c>
      <c r="K115" t="str">
        <v>Caravan</v>
      </c>
      <c r="L115" t="str">
        <v>Standard</v>
      </c>
      <c r="P115">
        <f t="shared" si="1"/>
        <v>1</v>
      </c>
    </row>
    <row r="116" spans="1:16" ht="14.5" x14ac:dyDescent="0.35">
      <c r="A116" s="12">
        <v>115</v>
      </c>
      <c r="B116" s="13" t="s">
        <v>8</v>
      </c>
      <c r="C116" s="12">
        <v>623</v>
      </c>
      <c r="D116" s="12">
        <v>2018</v>
      </c>
      <c r="E116" s="13" t="s">
        <v>89</v>
      </c>
      <c r="F116" s="13" t="s">
        <v>10</v>
      </c>
      <c r="G116" s="15">
        <v>44515</v>
      </c>
      <c r="H116" s="12">
        <v>114</v>
      </c>
      <c r="I116" t="str">
        <v>Canterbury</v>
      </c>
      <c r="J116" t="str">
        <v>New Zealand</v>
      </c>
      <c r="K116" t="str">
        <v>Trailer</v>
      </c>
      <c r="L116" t="str">
        <v>Standard</v>
      </c>
      <c r="P116">
        <f t="shared" si="1"/>
        <v>2</v>
      </c>
    </row>
    <row r="117" spans="1:16" ht="14.5" x14ac:dyDescent="0.35">
      <c r="A117" s="12">
        <v>116</v>
      </c>
      <c r="B117" s="13" t="s">
        <v>107</v>
      </c>
      <c r="C117" s="12">
        <v>575</v>
      </c>
      <c r="D117" s="12">
        <v>2007</v>
      </c>
      <c r="E117" s="13" t="s">
        <v>108</v>
      </c>
      <c r="F117" s="13" t="s">
        <v>69</v>
      </c>
      <c r="G117" s="15">
        <v>44515</v>
      </c>
      <c r="H117" s="12">
        <v>103</v>
      </c>
      <c r="I117" t="str">
        <v>Waikato</v>
      </c>
      <c r="J117" t="str">
        <v>New Zealand</v>
      </c>
      <c r="K117" t="str">
        <v>Massey</v>
      </c>
      <c r="L117" t="str">
        <v>Standard</v>
      </c>
      <c r="P117">
        <f t="shared" si="1"/>
        <v>1</v>
      </c>
    </row>
    <row r="118" spans="1:16" ht="14.5" x14ac:dyDescent="0.35">
      <c r="A118" s="12">
        <v>117</v>
      </c>
      <c r="B118" s="13" t="s">
        <v>8</v>
      </c>
      <c r="C118" s="12">
        <v>623</v>
      </c>
      <c r="D118" s="12">
        <v>2022</v>
      </c>
      <c r="E118" s="13" t="s">
        <v>109</v>
      </c>
      <c r="F118" s="13" t="s">
        <v>10</v>
      </c>
      <c r="G118" s="15">
        <v>44515</v>
      </c>
      <c r="H118" s="12">
        <v>109</v>
      </c>
      <c r="I118" t="str">
        <v>Wellington</v>
      </c>
      <c r="J118" t="str">
        <v>New Zealand</v>
      </c>
      <c r="K118" t="str">
        <v>Trailer</v>
      </c>
      <c r="L118" t="str">
        <v>Standard</v>
      </c>
      <c r="P118">
        <f t="shared" si="1"/>
        <v>2</v>
      </c>
    </row>
    <row r="119" spans="1:16" ht="14.5" x14ac:dyDescent="0.35">
      <c r="A119" s="12">
        <v>118</v>
      </c>
      <c r="B119" s="13" t="s">
        <v>16</v>
      </c>
      <c r="C119" s="12">
        <v>611</v>
      </c>
      <c r="D119" s="12">
        <v>2003</v>
      </c>
      <c r="E119" s="13" t="s">
        <v>110</v>
      </c>
      <c r="F119" s="13" t="s">
        <v>18</v>
      </c>
      <c r="G119" s="15">
        <v>44515</v>
      </c>
      <c r="H119" s="12">
        <v>101</v>
      </c>
      <c r="I119" t="str">
        <v>Northland</v>
      </c>
      <c r="J119" t="str">
        <v>New Zealand</v>
      </c>
      <c r="K119" t="str">
        <v>Suzuki</v>
      </c>
      <c r="L119" t="str">
        <v>Standard</v>
      </c>
      <c r="P119">
        <f t="shared" si="1"/>
        <v>1</v>
      </c>
    </row>
    <row r="120" spans="1:16" ht="14.5" x14ac:dyDescent="0.35">
      <c r="A120" s="12">
        <v>119</v>
      </c>
      <c r="B120" s="13" t="s">
        <v>11</v>
      </c>
      <c r="C120" s="12">
        <v>626</v>
      </c>
      <c r="D120" s="12">
        <v>2022</v>
      </c>
      <c r="E120" s="13" t="s">
        <v>111</v>
      </c>
      <c r="F120" s="13" t="s">
        <v>18</v>
      </c>
      <c r="G120" s="15">
        <v>44515</v>
      </c>
      <c r="H120" s="12">
        <v>102</v>
      </c>
      <c r="I120" t="str">
        <v>Auckland</v>
      </c>
      <c r="J120" t="str">
        <v>New Zealand</v>
      </c>
      <c r="K120" t="str">
        <v>Trojan</v>
      </c>
      <c r="L120" t="str">
        <v>Standard</v>
      </c>
      <c r="P120">
        <f t="shared" si="1"/>
        <v>1</v>
      </c>
    </row>
    <row r="121" spans="1:16" ht="14.5" x14ac:dyDescent="0.35">
      <c r="A121" s="12">
        <v>120</v>
      </c>
      <c r="B121" s="13" t="s">
        <v>8</v>
      </c>
      <c r="C121" s="12">
        <v>623</v>
      </c>
      <c r="D121" s="12">
        <v>2022</v>
      </c>
      <c r="E121" s="13" t="s">
        <v>112</v>
      </c>
      <c r="F121" s="13" t="s">
        <v>10</v>
      </c>
      <c r="G121" s="15">
        <v>44516</v>
      </c>
      <c r="H121" s="12">
        <v>102</v>
      </c>
      <c r="I121" t="str">
        <v>Auckland</v>
      </c>
      <c r="J121" t="str">
        <v>New Zealand</v>
      </c>
      <c r="K121" t="str">
        <v>Trailer</v>
      </c>
      <c r="L121" t="str">
        <v>Standard</v>
      </c>
      <c r="P121">
        <f t="shared" si="1"/>
        <v>1</v>
      </c>
    </row>
    <row r="122" spans="1:16" ht="14.5" x14ac:dyDescent="0.35">
      <c r="A122" s="12">
        <v>121</v>
      </c>
      <c r="B122" s="13" t="s">
        <v>11</v>
      </c>
      <c r="C122" s="12">
        <v>549</v>
      </c>
      <c r="D122" s="12">
        <v>1989</v>
      </c>
      <c r="E122" s="13" t="s">
        <v>113</v>
      </c>
      <c r="F122" s="13" t="s">
        <v>45</v>
      </c>
      <c r="G122" s="15">
        <v>44516</v>
      </c>
      <c r="H122" s="12">
        <v>114</v>
      </c>
      <c r="I122" t="str">
        <v>Canterbury</v>
      </c>
      <c r="J122" t="str">
        <v>New Zealand</v>
      </c>
      <c r="K122" t="str">
        <v>Homebuilt</v>
      </c>
      <c r="L122" t="str">
        <v>Standard</v>
      </c>
      <c r="P122">
        <f t="shared" si="1"/>
        <v>1</v>
      </c>
    </row>
    <row r="123" spans="1:16" ht="14.5" x14ac:dyDescent="0.35">
      <c r="A123" s="12">
        <v>122</v>
      </c>
      <c r="B123" s="13" t="s">
        <v>11</v>
      </c>
      <c r="C123" s="12">
        <v>623</v>
      </c>
      <c r="D123" s="12">
        <v>2017</v>
      </c>
      <c r="E123" s="13" t="s">
        <v>114</v>
      </c>
      <c r="F123" s="13" t="s">
        <v>10</v>
      </c>
      <c r="G123" s="15">
        <v>44517</v>
      </c>
      <c r="H123" s="12">
        <v>105</v>
      </c>
      <c r="I123" t="str">
        <v>Gisborne</v>
      </c>
      <c r="J123" t="str">
        <v>New Zealand</v>
      </c>
      <c r="K123" t="str">
        <v>Trailer</v>
      </c>
      <c r="L123" t="str">
        <v>Standard</v>
      </c>
      <c r="P123">
        <f t="shared" si="1"/>
        <v>1</v>
      </c>
    </row>
    <row r="124" spans="1:16" ht="14.5" x14ac:dyDescent="0.35">
      <c r="A124" s="12">
        <v>123</v>
      </c>
      <c r="B124" s="13" t="s">
        <v>8</v>
      </c>
      <c r="C124" s="12">
        <v>623</v>
      </c>
      <c r="D124" s="12">
        <v>2019</v>
      </c>
      <c r="E124" s="13" t="s">
        <v>115</v>
      </c>
      <c r="F124" s="13" t="s">
        <v>10</v>
      </c>
      <c r="G124" s="15">
        <v>44518</v>
      </c>
      <c r="H124" s="12">
        <v>108</v>
      </c>
      <c r="I124" t="str">
        <v>Manawatū-Whanganui</v>
      </c>
      <c r="J124" t="str">
        <v>New Zealand</v>
      </c>
      <c r="K124" t="str">
        <v>Trailer</v>
      </c>
      <c r="L124" t="str">
        <v>Standard</v>
      </c>
      <c r="P124">
        <f t="shared" si="1"/>
        <v>1</v>
      </c>
    </row>
    <row r="125" spans="1:16" ht="14.5" x14ac:dyDescent="0.35">
      <c r="A125" s="12">
        <v>124</v>
      </c>
      <c r="B125" s="13" t="s">
        <v>16</v>
      </c>
      <c r="C125" s="12">
        <v>561</v>
      </c>
      <c r="D125" s="12">
        <v>2008</v>
      </c>
      <c r="E125" s="13" t="s">
        <v>116</v>
      </c>
      <c r="F125" s="13" t="s">
        <v>69</v>
      </c>
      <c r="G125" s="15">
        <v>44521</v>
      </c>
      <c r="H125" s="12">
        <v>102</v>
      </c>
      <c r="I125" t="str">
        <v>Auckland</v>
      </c>
      <c r="J125" t="str">
        <v>New Zealand</v>
      </c>
      <c r="K125" t="str">
        <v>Kawasaki</v>
      </c>
      <c r="L125" t="str">
        <v>Standard</v>
      </c>
      <c r="P125">
        <f t="shared" si="1"/>
        <v>1</v>
      </c>
    </row>
    <row r="126" spans="1:16" ht="14.5" x14ac:dyDescent="0.35">
      <c r="A126" s="12">
        <v>125</v>
      </c>
      <c r="B126" s="13" t="s">
        <v>25</v>
      </c>
      <c r="C126" s="12">
        <v>585</v>
      </c>
      <c r="D126" s="12">
        <v>2008</v>
      </c>
      <c r="E126" s="13" t="s">
        <v>117</v>
      </c>
      <c r="F126" s="13" t="s">
        <v>69</v>
      </c>
      <c r="G126" s="15">
        <v>44521</v>
      </c>
      <c r="H126" s="12">
        <v>102</v>
      </c>
      <c r="I126" t="str">
        <v>Auckland</v>
      </c>
      <c r="J126" t="str">
        <v>New Zealand</v>
      </c>
      <c r="K126" t="str">
        <v>Moped</v>
      </c>
      <c r="L126" t="str">
        <v>Standard</v>
      </c>
      <c r="P126">
        <f t="shared" si="1"/>
        <v>1</v>
      </c>
    </row>
    <row r="127" spans="1:16" ht="14.5" x14ac:dyDescent="0.35">
      <c r="A127" s="12">
        <v>126</v>
      </c>
      <c r="B127" s="13" t="s">
        <v>8</v>
      </c>
      <c r="C127" s="12">
        <v>623</v>
      </c>
      <c r="D127" s="12">
        <v>1996</v>
      </c>
      <c r="E127" s="13" t="s">
        <v>65</v>
      </c>
      <c r="F127" s="13" t="s">
        <v>45</v>
      </c>
      <c r="G127" s="15">
        <v>44522</v>
      </c>
      <c r="H127" s="12">
        <v>114</v>
      </c>
      <c r="I127" t="str">
        <v>Canterbury</v>
      </c>
      <c r="J127" t="str">
        <v>New Zealand</v>
      </c>
      <c r="K127" t="str">
        <v>Trailer</v>
      </c>
      <c r="L127" t="str">
        <v>Standard</v>
      </c>
      <c r="P127">
        <f t="shared" si="1"/>
        <v>4</v>
      </c>
    </row>
    <row r="128" spans="1:16" ht="14.5" x14ac:dyDescent="0.35">
      <c r="A128" s="12">
        <v>127</v>
      </c>
      <c r="B128" s="13" t="s">
        <v>11</v>
      </c>
      <c r="C128" s="12">
        <v>623</v>
      </c>
      <c r="D128" s="12">
        <v>2000</v>
      </c>
      <c r="E128" s="13" t="s">
        <v>118</v>
      </c>
      <c r="F128" s="13" t="s">
        <v>10</v>
      </c>
      <c r="G128" s="15">
        <v>44522</v>
      </c>
      <c r="H128" s="12">
        <v>102</v>
      </c>
      <c r="I128" t="str">
        <v>Auckland</v>
      </c>
      <c r="J128" t="str">
        <v>New Zealand</v>
      </c>
      <c r="K128" t="str">
        <v>Trailer</v>
      </c>
      <c r="L128" t="str">
        <v>Standard</v>
      </c>
      <c r="P128">
        <f t="shared" si="1"/>
        <v>4</v>
      </c>
    </row>
    <row r="129" spans="1:16" ht="14.5" x14ac:dyDescent="0.35">
      <c r="A129" s="12">
        <v>128</v>
      </c>
      <c r="B129" s="13" t="s">
        <v>11</v>
      </c>
      <c r="C129" s="12">
        <v>549</v>
      </c>
      <c r="D129" s="12">
        <v>1994</v>
      </c>
      <c r="E129" s="13" t="s">
        <v>119</v>
      </c>
      <c r="F129" s="13" t="s">
        <v>32</v>
      </c>
      <c r="G129" s="15">
        <v>44522</v>
      </c>
      <c r="H129" s="12">
        <v>114</v>
      </c>
      <c r="I129" t="str">
        <v>Canterbury</v>
      </c>
      <c r="J129" t="str">
        <v>New Zealand</v>
      </c>
      <c r="K129" t="str">
        <v>Homebuilt</v>
      </c>
      <c r="L129" t="str">
        <v>Standard</v>
      </c>
      <c r="P129">
        <f t="shared" si="1"/>
        <v>1</v>
      </c>
    </row>
    <row r="130" spans="1:16" ht="14.5" x14ac:dyDescent="0.35">
      <c r="A130" s="12">
        <v>129</v>
      </c>
      <c r="B130" s="13" t="s">
        <v>8</v>
      </c>
      <c r="C130" s="12">
        <v>623</v>
      </c>
      <c r="D130" s="12">
        <v>1998</v>
      </c>
      <c r="E130" s="13" t="s">
        <v>120</v>
      </c>
      <c r="F130" s="13" t="s">
        <v>45</v>
      </c>
      <c r="G130" s="15">
        <v>44522</v>
      </c>
      <c r="H130" s="12">
        <v>111</v>
      </c>
      <c r="I130" t="str">
        <v>Nelson</v>
      </c>
      <c r="J130" t="str">
        <v>New Zealand</v>
      </c>
      <c r="K130" t="str">
        <v>Trailer</v>
      </c>
      <c r="L130" t="str">
        <v>Standard</v>
      </c>
      <c r="P130">
        <f t="shared" si="1"/>
        <v>4</v>
      </c>
    </row>
    <row r="131" spans="1:16" ht="14.5" x14ac:dyDescent="0.35">
      <c r="A131" s="12">
        <v>130</v>
      </c>
      <c r="B131" s="13" t="s">
        <v>8</v>
      </c>
      <c r="C131" s="12">
        <v>623</v>
      </c>
      <c r="D131" s="12">
        <v>2019</v>
      </c>
      <c r="E131" s="13" t="s">
        <v>121</v>
      </c>
      <c r="F131" s="13" t="s">
        <v>45</v>
      </c>
      <c r="G131" s="15">
        <v>44522</v>
      </c>
      <c r="H131" s="12">
        <v>101</v>
      </c>
      <c r="I131" t="str">
        <v>Northland</v>
      </c>
      <c r="J131" t="str">
        <v>New Zealand</v>
      </c>
      <c r="K131" t="str">
        <v>Trailer</v>
      </c>
      <c r="L131" t="str">
        <v>Standard</v>
      </c>
      <c r="P131">
        <f t="shared" ref="P131:P194" si="2">COUNTIFS($G$2:$G$501,G131,$K$2:$K$501,K131)</f>
        <v>4</v>
      </c>
    </row>
    <row r="132" spans="1:16" ht="14.5" x14ac:dyDescent="0.35">
      <c r="A132" s="12">
        <v>131</v>
      </c>
      <c r="B132" s="13" t="s">
        <v>16</v>
      </c>
      <c r="C132" s="12">
        <v>565</v>
      </c>
      <c r="D132" s="12">
        <v>2002</v>
      </c>
      <c r="E132" s="13" t="s">
        <v>122</v>
      </c>
      <c r="F132" s="13" t="s">
        <v>123</v>
      </c>
      <c r="G132" s="15">
        <v>44524</v>
      </c>
      <c r="H132" s="12">
        <v>101</v>
      </c>
      <c r="I132" t="str">
        <v>Northland</v>
      </c>
      <c r="J132" t="str">
        <v>New Zealand</v>
      </c>
      <c r="K132" t="str">
        <v>KTM</v>
      </c>
      <c r="L132" t="str">
        <v>Standard</v>
      </c>
      <c r="P132">
        <f t="shared" si="2"/>
        <v>1</v>
      </c>
    </row>
    <row r="133" spans="1:16" ht="14.5" x14ac:dyDescent="0.35">
      <c r="A133" s="12">
        <v>132</v>
      </c>
      <c r="B133" s="13" t="s">
        <v>8</v>
      </c>
      <c r="C133" s="12">
        <v>623</v>
      </c>
      <c r="D133" s="12">
        <v>2019</v>
      </c>
      <c r="E133" s="13" t="s">
        <v>30</v>
      </c>
      <c r="F133" s="13" t="s">
        <v>10</v>
      </c>
      <c r="G133" s="15">
        <v>44524</v>
      </c>
      <c r="H133" s="12">
        <v>104</v>
      </c>
      <c r="I133" t="str">
        <v>Bay of Plenty</v>
      </c>
      <c r="J133" t="str">
        <v>New Zealand</v>
      </c>
      <c r="K133" t="str">
        <v>Trailer</v>
      </c>
      <c r="L133" t="str">
        <v>Standard</v>
      </c>
      <c r="P133">
        <f t="shared" si="2"/>
        <v>1</v>
      </c>
    </row>
    <row r="134" spans="1:16" ht="14.5" x14ac:dyDescent="0.35">
      <c r="A134" s="12">
        <v>133</v>
      </c>
      <c r="B134" s="13" t="s">
        <v>8</v>
      </c>
      <c r="C134" s="12">
        <v>623</v>
      </c>
      <c r="D134" s="12">
        <v>2022</v>
      </c>
      <c r="E134" s="13" t="s">
        <v>115</v>
      </c>
      <c r="F134" s="13" t="s">
        <v>10</v>
      </c>
      <c r="G134" s="15">
        <v>44525</v>
      </c>
      <c r="H134" s="12">
        <v>108</v>
      </c>
      <c r="I134" t="str">
        <v>Manawatū-Whanganui</v>
      </c>
      <c r="J134" t="str">
        <v>New Zealand</v>
      </c>
      <c r="K134" t="str">
        <v>Trailer</v>
      </c>
      <c r="L134" t="str">
        <v>Standard</v>
      </c>
      <c r="P134">
        <f t="shared" si="2"/>
        <v>4</v>
      </c>
    </row>
    <row r="135" spans="1:16" ht="14.5" x14ac:dyDescent="0.35">
      <c r="A135" s="12">
        <v>134</v>
      </c>
      <c r="B135" s="13" t="s">
        <v>8</v>
      </c>
      <c r="C135" s="12">
        <v>623</v>
      </c>
      <c r="D135" s="12">
        <v>2019</v>
      </c>
      <c r="E135" s="13" t="s">
        <v>124</v>
      </c>
      <c r="F135" s="13" t="s">
        <v>10</v>
      </c>
      <c r="G135" s="15">
        <v>44525</v>
      </c>
      <c r="H135" s="12">
        <v>104</v>
      </c>
      <c r="I135" t="str">
        <v>Bay of Plenty</v>
      </c>
      <c r="J135" t="str">
        <v>New Zealand</v>
      </c>
      <c r="K135" t="str">
        <v>Trailer</v>
      </c>
      <c r="L135" t="str">
        <v>Standard</v>
      </c>
      <c r="P135">
        <f t="shared" si="2"/>
        <v>4</v>
      </c>
    </row>
    <row r="136" spans="1:16" ht="14.5" x14ac:dyDescent="0.35">
      <c r="A136" s="12">
        <v>135</v>
      </c>
      <c r="B136" s="13" t="s">
        <v>8</v>
      </c>
      <c r="C136" s="12">
        <v>623</v>
      </c>
      <c r="D136" s="12">
        <v>1980</v>
      </c>
      <c r="E136" s="13" t="s">
        <v>125</v>
      </c>
      <c r="F136" s="13" t="s">
        <v>45</v>
      </c>
      <c r="G136" s="15">
        <v>44525</v>
      </c>
      <c r="H136" s="12">
        <v>103</v>
      </c>
      <c r="I136" t="str">
        <v>Waikato</v>
      </c>
      <c r="J136" t="str">
        <v>New Zealand</v>
      </c>
      <c r="K136" t="str">
        <v>Trailer</v>
      </c>
      <c r="L136" t="str">
        <v>Standard</v>
      </c>
      <c r="P136">
        <f t="shared" si="2"/>
        <v>4</v>
      </c>
    </row>
    <row r="137" spans="1:16" ht="14.5" x14ac:dyDescent="0.35">
      <c r="A137" s="12">
        <v>136</v>
      </c>
      <c r="B137" s="13" t="s">
        <v>8</v>
      </c>
      <c r="C137" s="12">
        <v>623</v>
      </c>
      <c r="D137" s="12">
        <v>2019</v>
      </c>
      <c r="E137" s="13" t="s">
        <v>23</v>
      </c>
      <c r="F137" s="13" t="s">
        <v>10</v>
      </c>
      <c r="G137" s="15">
        <v>44525</v>
      </c>
      <c r="H137" s="12">
        <v>115</v>
      </c>
      <c r="I137" t="str">
        <v>Otago</v>
      </c>
      <c r="J137" t="str">
        <v>New Zealand</v>
      </c>
      <c r="K137" t="str">
        <v>Trailer</v>
      </c>
      <c r="L137" t="str">
        <v>Standard</v>
      </c>
      <c r="P137">
        <f t="shared" si="2"/>
        <v>4</v>
      </c>
    </row>
    <row r="138" spans="1:16" ht="14.5" x14ac:dyDescent="0.35">
      <c r="A138" s="12">
        <v>137</v>
      </c>
      <c r="B138" s="13" t="s">
        <v>8</v>
      </c>
      <c r="C138" s="12">
        <v>616</v>
      </c>
      <c r="D138" s="12">
        <v>2019</v>
      </c>
      <c r="E138" s="13" t="s">
        <v>33</v>
      </c>
      <c r="F138" s="13" t="s">
        <v>10</v>
      </c>
      <c r="G138" s="15">
        <v>44526</v>
      </c>
      <c r="H138" s="12">
        <v>102</v>
      </c>
      <c r="I138" t="str">
        <v>Auckland</v>
      </c>
      <c r="J138" t="str">
        <v>New Zealand</v>
      </c>
      <c r="K138" t="str">
        <v>Titan</v>
      </c>
      <c r="L138" t="str">
        <v>Standard</v>
      </c>
      <c r="P138">
        <f t="shared" si="2"/>
        <v>1</v>
      </c>
    </row>
    <row r="139" spans="1:16" ht="14.5" x14ac:dyDescent="0.35">
      <c r="A139" s="12">
        <v>138</v>
      </c>
      <c r="B139" s="13" t="s">
        <v>8</v>
      </c>
      <c r="C139" s="12">
        <v>623</v>
      </c>
      <c r="D139" s="12">
        <v>1962</v>
      </c>
      <c r="E139" s="13" t="s">
        <v>51</v>
      </c>
      <c r="F139" s="13" t="s">
        <v>47</v>
      </c>
      <c r="G139" s="15">
        <v>44526</v>
      </c>
      <c r="H139" s="12">
        <v>114</v>
      </c>
      <c r="I139" t="str">
        <v>Canterbury</v>
      </c>
      <c r="J139" t="str">
        <v>New Zealand</v>
      </c>
      <c r="K139" t="str">
        <v>Trailer</v>
      </c>
      <c r="L139" t="str">
        <v>Standard</v>
      </c>
      <c r="P139">
        <f t="shared" si="2"/>
        <v>1</v>
      </c>
    </row>
    <row r="140" spans="1:16" ht="14.5" x14ac:dyDescent="0.35">
      <c r="A140" s="12">
        <v>139</v>
      </c>
      <c r="B140" s="13" t="s">
        <v>8</v>
      </c>
      <c r="C140" s="12">
        <v>623</v>
      </c>
      <c r="D140" s="12">
        <v>1997</v>
      </c>
      <c r="E140" s="13" t="s">
        <v>126</v>
      </c>
      <c r="F140" s="13" t="s">
        <v>32</v>
      </c>
      <c r="G140" s="15">
        <v>44527</v>
      </c>
      <c r="H140" s="12">
        <v>107</v>
      </c>
      <c r="I140" t="str">
        <v>Taranaki</v>
      </c>
      <c r="J140" t="str">
        <v>New Zealand</v>
      </c>
      <c r="K140" t="str">
        <v>Trailer</v>
      </c>
      <c r="L140" t="str">
        <v>Standard</v>
      </c>
      <c r="P140">
        <f t="shared" si="2"/>
        <v>1</v>
      </c>
    </row>
    <row r="141" spans="1:16" ht="14.5" x14ac:dyDescent="0.35">
      <c r="A141" s="12">
        <v>140</v>
      </c>
      <c r="B141" s="13" t="s">
        <v>8</v>
      </c>
      <c r="C141" s="12">
        <v>514</v>
      </c>
      <c r="D141" s="12">
        <v>2018</v>
      </c>
      <c r="E141" s="13" t="s">
        <v>127</v>
      </c>
      <c r="F141" s="13" t="s">
        <v>10</v>
      </c>
      <c r="G141" s="15">
        <v>44527</v>
      </c>
      <c r="H141" s="12">
        <v>114</v>
      </c>
      <c r="I141" t="str">
        <v>Canterbury</v>
      </c>
      <c r="J141" t="str">
        <v>New Zealand</v>
      </c>
      <c r="K141" t="str">
        <v>Briford</v>
      </c>
      <c r="L141" t="str">
        <v>Standard</v>
      </c>
      <c r="P141">
        <f t="shared" si="2"/>
        <v>1</v>
      </c>
    </row>
    <row r="142" spans="1:16" ht="14.5" x14ac:dyDescent="0.35">
      <c r="A142" s="12">
        <v>141</v>
      </c>
      <c r="B142" s="13" t="s">
        <v>8</v>
      </c>
      <c r="C142" s="12">
        <v>538</v>
      </c>
      <c r="D142" s="12">
        <v>2019</v>
      </c>
      <c r="E142" s="13" t="s">
        <v>24</v>
      </c>
      <c r="F142" s="13" t="s">
        <v>10</v>
      </c>
      <c r="G142" s="15">
        <v>44529</v>
      </c>
      <c r="H142" s="12">
        <v>109</v>
      </c>
      <c r="I142" t="str">
        <v>Wellington</v>
      </c>
      <c r="J142" t="str">
        <v>New Zealand</v>
      </c>
      <c r="K142" t="str">
        <v>Factory Built</v>
      </c>
      <c r="L142" t="str">
        <v>Standard</v>
      </c>
      <c r="P142">
        <f t="shared" si="2"/>
        <v>1</v>
      </c>
    </row>
    <row r="143" spans="1:16" ht="14.5" x14ac:dyDescent="0.35">
      <c r="A143" s="12">
        <v>142</v>
      </c>
      <c r="B143" s="13" t="s">
        <v>8</v>
      </c>
      <c r="C143" s="12">
        <v>623</v>
      </c>
      <c r="D143" s="12">
        <v>2019</v>
      </c>
      <c r="E143" s="13" t="s">
        <v>128</v>
      </c>
      <c r="F143" s="13" t="s">
        <v>10</v>
      </c>
      <c r="G143" s="15">
        <v>44530</v>
      </c>
      <c r="H143" s="12">
        <v>111</v>
      </c>
      <c r="I143" t="str">
        <v>Nelson</v>
      </c>
      <c r="J143" t="str">
        <v>New Zealand</v>
      </c>
      <c r="K143" t="str">
        <v>Trailer</v>
      </c>
      <c r="L143" t="str">
        <v>Standard</v>
      </c>
      <c r="P143">
        <f t="shared" si="2"/>
        <v>2</v>
      </c>
    </row>
    <row r="144" spans="1:16" ht="14.5" x14ac:dyDescent="0.35">
      <c r="A144" s="12">
        <v>143</v>
      </c>
      <c r="B144" s="13" t="s">
        <v>11</v>
      </c>
      <c r="C144" s="12">
        <v>623</v>
      </c>
      <c r="D144" s="12">
        <v>2019</v>
      </c>
      <c r="E144" s="13" t="s">
        <v>129</v>
      </c>
      <c r="F144" s="13" t="s">
        <v>10</v>
      </c>
      <c r="G144" s="15">
        <v>44530</v>
      </c>
      <c r="H144" s="12">
        <v>109</v>
      </c>
      <c r="I144" t="str">
        <v>Wellington</v>
      </c>
      <c r="J144" t="str">
        <v>New Zealand</v>
      </c>
      <c r="K144" t="str">
        <v>Trailer</v>
      </c>
      <c r="L144" t="str">
        <v>Standard</v>
      </c>
      <c r="P144">
        <f t="shared" si="2"/>
        <v>2</v>
      </c>
    </row>
    <row r="145" spans="1:16" ht="14.5" x14ac:dyDescent="0.35">
      <c r="A145" s="12">
        <v>144</v>
      </c>
      <c r="B145" s="13" t="s">
        <v>8</v>
      </c>
      <c r="C145" s="12">
        <v>595</v>
      </c>
      <c r="D145" s="12">
        <v>2019</v>
      </c>
      <c r="E145" s="13" t="s">
        <v>130</v>
      </c>
      <c r="F145" s="13" t="s">
        <v>10</v>
      </c>
      <c r="G145" s="15">
        <v>44530</v>
      </c>
      <c r="H145" s="12">
        <v>102</v>
      </c>
      <c r="I145" t="str">
        <v>Auckland</v>
      </c>
      <c r="J145" t="str">
        <v>New Zealand</v>
      </c>
      <c r="K145" t="str">
        <v>Pinto</v>
      </c>
      <c r="L145" t="str">
        <v>Standard</v>
      </c>
      <c r="P145">
        <f t="shared" si="2"/>
        <v>1</v>
      </c>
    </row>
    <row r="146" spans="1:16" ht="14.5" x14ac:dyDescent="0.35">
      <c r="A146" s="12">
        <v>145</v>
      </c>
      <c r="B146" s="13" t="s">
        <v>8</v>
      </c>
      <c r="C146" s="12">
        <v>623</v>
      </c>
      <c r="D146" s="12">
        <v>2019</v>
      </c>
      <c r="E146" s="13" t="s">
        <v>92</v>
      </c>
      <c r="F146" s="13" t="s">
        <v>10</v>
      </c>
      <c r="G146" s="14">
        <v>44540</v>
      </c>
      <c r="H146" s="12">
        <v>114</v>
      </c>
      <c r="I146" t="str">
        <v>Canterbury</v>
      </c>
      <c r="J146" t="str">
        <v>New Zealand</v>
      </c>
      <c r="K146" t="str">
        <v>Trailer</v>
      </c>
      <c r="L146" t="str">
        <v>Standard</v>
      </c>
      <c r="P146">
        <f t="shared" si="2"/>
        <v>3</v>
      </c>
    </row>
    <row r="147" spans="1:16" ht="14.5" x14ac:dyDescent="0.35">
      <c r="A147" s="12">
        <v>146</v>
      </c>
      <c r="B147" s="13" t="s">
        <v>37</v>
      </c>
      <c r="C147" s="12">
        <v>623</v>
      </c>
      <c r="D147" s="12">
        <v>2019</v>
      </c>
      <c r="E147" s="13" t="s">
        <v>131</v>
      </c>
      <c r="F147" s="13" t="s">
        <v>10</v>
      </c>
      <c r="G147" s="14">
        <v>44540</v>
      </c>
      <c r="H147" s="12">
        <v>105</v>
      </c>
      <c r="I147" t="str">
        <v>Gisborne</v>
      </c>
      <c r="J147" t="str">
        <v>New Zealand</v>
      </c>
      <c r="K147" t="str">
        <v>Trailer</v>
      </c>
      <c r="L147" t="str">
        <v>Standard</v>
      </c>
      <c r="P147">
        <f t="shared" si="2"/>
        <v>3</v>
      </c>
    </row>
    <row r="148" spans="1:16" ht="14.5" x14ac:dyDescent="0.35">
      <c r="A148" s="12">
        <v>147</v>
      </c>
      <c r="B148" s="13" t="s">
        <v>8</v>
      </c>
      <c r="C148" s="12">
        <v>623</v>
      </c>
      <c r="D148" s="12">
        <v>2019</v>
      </c>
      <c r="E148" s="13" t="s">
        <v>58</v>
      </c>
      <c r="F148" s="13" t="s">
        <v>45</v>
      </c>
      <c r="G148" s="14">
        <v>44540</v>
      </c>
      <c r="H148" s="12">
        <v>102</v>
      </c>
      <c r="I148" t="str">
        <v>Auckland</v>
      </c>
      <c r="J148" t="str">
        <v>New Zealand</v>
      </c>
      <c r="K148" t="str">
        <v>Trailer</v>
      </c>
      <c r="L148" t="str">
        <v>Standard</v>
      </c>
      <c r="P148">
        <f t="shared" si="2"/>
        <v>3</v>
      </c>
    </row>
    <row r="149" spans="1:16" ht="14.5" x14ac:dyDescent="0.35">
      <c r="A149" s="12">
        <v>148</v>
      </c>
      <c r="B149" s="13" t="s">
        <v>8</v>
      </c>
      <c r="C149" s="12">
        <v>538</v>
      </c>
      <c r="D149" s="12">
        <v>2015</v>
      </c>
      <c r="E149" s="13" t="s">
        <v>33</v>
      </c>
      <c r="F149" s="13" t="s">
        <v>10</v>
      </c>
      <c r="G149" s="14">
        <v>44540</v>
      </c>
      <c r="H149" s="12">
        <v>101</v>
      </c>
      <c r="I149" t="str">
        <v>Northland</v>
      </c>
      <c r="J149" t="str">
        <v>New Zealand</v>
      </c>
      <c r="K149" t="str">
        <v>Factory Built</v>
      </c>
      <c r="L149" t="str">
        <v>Standard</v>
      </c>
      <c r="P149">
        <f t="shared" si="2"/>
        <v>1</v>
      </c>
    </row>
    <row r="150" spans="1:16" ht="14.5" x14ac:dyDescent="0.35">
      <c r="A150" s="12">
        <v>149</v>
      </c>
      <c r="B150" s="13" t="s">
        <v>37</v>
      </c>
      <c r="C150" s="12">
        <v>514</v>
      </c>
      <c r="D150" s="12">
        <v>2015</v>
      </c>
      <c r="E150" s="13" t="s">
        <v>132</v>
      </c>
      <c r="F150" s="13" t="s">
        <v>10</v>
      </c>
      <c r="G150" s="14">
        <v>44540</v>
      </c>
      <c r="H150" s="12">
        <v>102</v>
      </c>
      <c r="I150" t="str">
        <v>Auckland</v>
      </c>
      <c r="J150" t="str">
        <v>New Zealand</v>
      </c>
      <c r="K150" t="str">
        <v>Briford</v>
      </c>
      <c r="L150" t="str">
        <v>Standard</v>
      </c>
      <c r="P150">
        <f t="shared" si="2"/>
        <v>1</v>
      </c>
    </row>
    <row r="151" spans="1:16" ht="14.5" x14ac:dyDescent="0.35">
      <c r="A151" s="12">
        <v>150</v>
      </c>
      <c r="B151" s="13" t="s">
        <v>61</v>
      </c>
      <c r="C151" s="12">
        <v>519</v>
      </c>
      <c r="D151" s="12">
        <v>2008</v>
      </c>
      <c r="E151" s="13" t="s">
        <v>133</v>
      </c>
      <c r="F151" s="13" t="s">
        <v>32</v>
      </c>
      <c r="G151" s="14">
        <v>44541</v>
      </c>
      <c r="H151" s="12">
        <v>104</v>
      </c>
      <c r="I151" t="str">
        <v>Bay of Plenty</v>
      </c>
      <c r="J151" t="str">
        <v>New Zealand</v>
      </c>
      <c r="K151" t="str">
        <v>Caravan</v>
      </c>
      <c r="L151" t="str">
        <v>Standard</v>
      </c>
      <c r="P151">
        <f t="shared" si="2"/>
        <v>1</v>
      </c>
    </row>
    <row r="152" spans="1:16" ht="14.5" x14ac:dyDescent="0.35">
      <c r="A152" s="12">
        <v>151</v>
      </c>
      <c r="B152" s="13" t="s">
        <v>8</v>
      </c>
      <c r="C152" s="12">
        <v>595</v>
      </c>
      <c r="D152" s="12">
        <v>2015</v>
      </c>
      <c r="E152" s="13" t="s">
        <v>124</v>
      </c>
      <c r="F152" s="13" t="s">
        <v>10</v>
      </c>
      <c r="G152" s="14">
        <v>44541</v>
      </c>
      <c r="H152" s="12">
        <v>103</v>
      </c>
      <c r="I152" t="str">
        <v>Waikato</v>
      </c>
      <c r="J152" t="str">
        <v>New Zealand</v>
      </c>
      <c r="K152" t="str">
        <v>Pinto</v>
      </c>
      <c r="L152" t="str">
        <v>Standard</v>
      </c>
      <c r="P152">
        <f t="shared" si="2"/>
        <v>1</v>
      </c>
    </row>
    <row r="153" spans="1:16" ht="14.5" x14ac:dyDescent="0.35">
      <c r="A153" s="12">
        <v>152</v>
      </c>
      <c r="B153" s="13" t="s">
        <v>8</v>
      </c>
      <c r="C153" s="12">
        <v>623</v>
      </c>
      <c r="D153" s="12">
        <v>2015</v>
      </c>
      <c r="E153" s="13" t="s">
        <v>134</v>
      </c>
      <c r="F153" s="13" t="s">
        <v>10</v>
      </c>
      <c r="G153" s="14">
        <v>44541</v>
      </c>
      <c r="H153" s="12">
        <v>105</v>
      </c>
      <c r="I153" t="str">
        <v>Gisborne</v>
      </c>
      <c r="J153" t="str">
        <v>New Zealand</v>
      </c>
      <c r="K153" t="str">
        <v>Trailer</v>
      </c>
      <c r="L153" t="str">
        <v>Standard</v>
      </c>
      <c r="P153">
        <f t="shared" si="2"/>
        <v>2</v>
      </c>
    </row>
    <row r="154" spans="1:16" ht="14.5" x14ac:dyDescent="0.35">
      <c r="A154" s="12">
        <v>153</v>
      </c>
      <c r="B154" s="13" t="s">
        <v>8</v>
      </c>
      <c r="C154" s="12">
        <v>623</v>
      </c>
      <c r="D154" s="12">
        <v>2015</v>
      </c>
      <c r="E154" s="13" t="s">
        <v>135</v>
      </c>
      <c r="F154" s="13" t="s">
        <v>10</v>
      </c>
      <c r="G154" s="14">
        <v>44541</v>
      </c>
      <c r="H154" s="12">
        <v>104</v>
      </c>
      <c r="I154" t="str">
        <v>Bay of Plenty</v>
      </c>
      <c r="J154" t="str">
        <v>New Zealand</v>
      </c>
      <c r="K154" t="str">
        <v>Trailer</v>
      </c>
      <c r="L154" t="str">
        <v>Standard</v>
      </c>
      <c r="P154">
        <f t="shared" si="2"/>
        <v>2</v>
      </c>
    </row>
    <row r="155" spans="1:16" ht="14.5" x14ac:dyDescent="0.35">
      <c r="A155" s="12">
        <v>154</v>
      </c>
      <c r="B155" s="13" t="s">
        <v>37</v>
      </c>
      <c r="C155" s="12">
        <v>514</v>
      </c>
      <c r="D155" s="12">
        <v>2015</v>
      </c>
      <c r="E155" s="13" t="s">
        <v>46</v>
      </c>
      <c r="F155" s="13" t="s">
        <v>10</v>
      </c>
      <c r="G155" s="15">
        <v>44543</v>
      </c>
      <c r="H155" s="12">
        <v>102</v>
      </c>
      <c r="I155" t="str">
        <v>Auckland</v>
      </c>
      <c r="J155" t="str">
        <v>New Zealand</v>
      </c>
      <c r="K155" t="str">
        <v>Briford</v>
      </c>
      <c r="L155" t="str">
        <v>Standard</v>
      </c>
      <c r="P155">
        <f t="shared" si="2"/>
        <v>3</v>
      </c>
    </row>
    <row r="156" spans="1:16" ht="14.5" x14ac:dyDescent="0.35">
      <c r="A156" s="12">
        <v>155</v>
      </c>
      <c r="B156" s="13" t="s">
        <v>37</v>
      </c>
      <c r="C156" s="12">
        <v>514</v>
      </c>
      <c r="D156" s="12">
        <v>2015</v>
      </c>
      <c r="E156" s="13" t="s">
        <v>46</v>
      </c>
      <c r="F156" s="13" t="s">
        <v>10</v>
      </c>
      <c r="G156" s="15">
        <v>44543</v>
      </c>
      <c r="H156" s="12">
        <v>102</v>
      </c>
      <c r="I156" t="str">
        <v>Auckland</v>
      </c>
      <c r="J156" t="str">
        <v>New Zealand</v>
      </c>
      <c r="K156" t="str">
        <v>Briford</v>
      </c>
      <c r="L156" t="str">
        <v>Standard</v>
      </c>
      <c r="P156">
        <f t="shared" si="2"/>
        <v>3</v>
      </c>
    </row>
    <row r="157" spans="1:16" ht="14.5" x14ac:dyDescent="0.35">
      <c r="A157" s="12">
        <v>156</v>
      </c>
      <c r="B157" s="13" t="s">
        <v>37</v>
      </c>
      <c r="C157" s="12">
        <v>514</v>
      </c>
      <c r="D157" s="12">
        <v>2015</v>
      </c>
      <c r="E157" s="13" t="s">
        <v>136</v>
      </c>
      <c r="F157" s="13" t="s">
        <v>10</v>
      </c>
      <c r="G157" s="15">
        <v>44543</v>
      </c>
      <c r="H157" s="12">
        <v>114</v>
      </c>
      <c r="I157" t="str">
        <v>Canterbury</v>
      </c>
      <c r="J157" t="str">
        <v>New Zealand</v>
      </c>
      <c r="K157" t="str">
        <v>Briford</v>
      </c>
      <c r="L157" t="str">
        <v>Standard</v>
      </c>
      <c r="P157">
        <f t="shared" si="2"/>
        <v>3</v>
      </c>
    </row>
    <row r="158" spans="1:16" ht="14.5" x14ac:dyDescent="0.35">
      <c r="A158" s="12">
        <v>157</v>
      </c>
      <c r="B158" s="13" t="s">
        <v>8</v>
      </c>
      <c r="C158" s="12">
        <v>623</v>
      </c>
      <c r="D158" s="12">
        <v>2015</v>
      </c>
      <c r="E158" s="13" t="s">
        <v>137</v>
      </c>
      <c r="F158" s="13" t="s">
        <v>10</v>
      </c>
      <c r="G158" s="15">
        <v>44543</v>
      </c>
      <c r="H158" s="12">
        <v>114</v>
      </c>
      <c r="I158" t="str">
        <v>Canterbury</v>
      </c>
      <c r="J158" t="str">
        <v>New Zealand</v>
      </c>
      <c r="K158" t="str">
        <v>Trailer</v>
      </c>
      <c r="L158" t="str">
        <v>Standard</v>
      </c>
      <c r="P158">
        <f t="shared" si="2"/>
        <v>1</v>
      </c>
    </row>
    <row r="159" spans="1:16" ht="14.5" x14ac:dyDescent="0.35">
      <c r="A159" s="12">
        <v>158</v>
      </c>
      <c r="B159" s="13" t="s">
        <v>61</v>
      </c>
      <c r="C159" s="12">
        <v>606</v>
      </c>
      <c r="D159" s="12">
        <v>2007</v>
      </c>
      <c r="E159" s="13" t="s">
        <v>138</v>
      </c>
      <c r="F159" s="13" t="s">
        <v>32</v>
      </c>
      <c r="G159" s="15">
        <v>44544</v>
      </c>
      <c r="H159" s="12">
        <v>109</v>
      </c>
      <c r="I159" t="str">
        <v>Wellington</v>
      </c>
      <c r="J159" t="str">
        <v>New Zealand</v>
      </c>
      <c r="K159" t="str">
        <v>Sprite</v>
      </c>
      <c r="L159" t="str">
        <v>Standard</v>
      </c>
      <c r="P159">
        <f t="shared" si="2"/>
        <v>1</v>
      </c>
    </row>
    <row r="160" spans="1:16" ht="14.5" x14ac:dyDescent="0.35">
      <c r="A160" s="12">
        <v>159</v>
      </c>
      <c r="B160" s="13" t="s">
        <v>8</v>
      </c>
      <c r="C160" s="12">
        <v>623</v>
      </c>
      <c r="D160" s="12">
        <v>2015</v>
      </c>
      <c r="E160" s="13" t="s">
        <v>139</v>
      </c>
      <c r="F160" s="13" t="s">
        <v>10</v>
      </c>
      <c r="G160" s="15">
        <v>44544</v>
      </c>
      <c r="H160" s="12">
        <v>106</v>
      </c>
      <c r="I160" t="str">
        <v>Hawke's Bay</v>
      </c>
      <c r="J160" t="str">
        <v>New Zealand</v>
      </c>
      <c r="K160" t="str">
        <v>Trailer</v>
      </c>
      <c r="L160" t="str">
        <v>Standard</v>
      </c>
      <c r="P160">
        <f t="shared" si="2"/>
        <v>2</v>
      </c>
    </row>
    <row r="161" spans="1:16" ht="14.5" x14ac:dyDescent="0.35">
      <c r="A161" s="12">
        <v>160</v>
      </c>
      <c r="B161" s="13" t="s">
        <v>83</v>
      </c>
      <c r="C161" s="12">
        <v>587</v>
      </c>
      <c r="D161" s="12">
        <v>1989</v>
      </c>
      <c r="E161" s="13" t="s">
        <v>140</v>
      </c>
      <c r="F161" s="13" t="s">
        <v>28</v>
      </c>
      <c r="G161" s="15">
        <v>44544</v>
      </c>
      <c r="H161" s="12">
        <v>109</v>
      </c>
      <c r="I161" t="str">
        <v>Wellington</v>
      </c>
      <c r="J161" t="str">
        <v>New Zealand</v>
      </c>
      <c r="K161" t="str">
        <v>Nissan</v>
      </c>
      <c r="L161" t="str">
        <v>Standard</v>
      </c>
      <c r="P161">
        <f t="shared" si="2"/>
        <v>1</v>
      </c>
    </row>
    <row r="162" spans="1:16" ht="14.5" x14ac:dyDescent="0.35">
      <c r="A162" s="12">
        <v>161</v>
      </c>
      <c r="B162" s="13" t="s">
        <v>11</v>
      </c>
      <c r="C162" s="12">
        <v>623</v>
      </c>
      <c r="D162" s="12">
        <v>2015</v>
      </c>
      <c r="E162" s="13" t="s">
        <v>141</v>
      </c>
      <c r="F162" s="13" t="s">
        <v>10</v>
      </c>
      <c r="G162" s="15">
        <v>44544</v>
      </c>
      <c r="H162" s="12">
        <v>114</v>
      </c>
      <c r="I162" t="str">
        <v>Canterbury</v>
      </c>
      <c r="J162" t="str">
        <v>New Zealand</v>
      </c>
      <c r="K162" t="str">
        <v>Trailer</v>
      </c>
      <c r="L162" t="str">
        <v>Standard</v>
      </c>
      <c r="P162">
        <f t="shared" si="2"/>
        <v>2</v>
      </c>
    </row>
    <row r="163" spans="1:16" ht="14.5" x14ac:dyDescent="0.35">
      <c r="A163" s="12">
        <v>162</v>
      </c>
      <c r="B163" s="13" t="s">
        <v>37</v>
      </c>
      <c r="C163" s="12">
        <v>514</v>
      </c>
      <c r="D163" s="12">
        <v>2015</v>
      </c>
      <c r="E163" s="13" t="s">
        <v>46</v>
      </c>
      <c r="F163" s="13" t="s">
        <v>10</v>
      </c>
      <c r="G163" s="15">
        <v>44545</v>
      </c>
      <c r="H163" s="12">
        <v>109</v>
      </c>
      <c r="I163" t="str">
        <v>Wellington</v>
      </c>
      <c r="J163" t="str">
        <v>New Zealand</v>
      </c>
      <c r="K163" t="str">
        <v>Briford</v>
      </c>
      <c r="L163" t="str">
        <v>Standard</v>
      </c>
      <c r="P163">
        <f t="shared" si="2"/>
        <v>1</v>
      </c>
    </row>
    <row r="164" spans="1:16" ht="14.5" x14ac:dyDescent="0.35">
      <c r="A164" s="12">
        <v>163</v>
      </c>
      <c r="B164" s="13" t="s">
        <v>8</v>
      </c>
      <c r="C164" s="12">
        <v>623</v>
      </c>
      <c r="D164" s="12">
        <v>2015</v>
      </c>
      <c r="E164" s="13" t="s">
        <v>142</v>
      </c>
      <c r="F164" s="13" t="s">
        <v>10</v>
      </c>
      <c r="G164" s="15">
        <v>44545</v>
      </c>
      <c r="H164" s="12">
        <v>101</v>
      </c>
      <c r="I164" t="str">
        <v>Northland</v>
      </c>
      <c r="J164" t="str">
        <v>New Zealand</v>
      </c>
      <c r="K164" t="str">
        <v>Trailer</v>
      </c>
      <c r="L164" t="str">
        <v>Standard</v>
      </c>
      <c r="P164">
        <f t="shared" si="2"/>
        <v>2</v>
      </c>
    </row>
    <row r="165" spans="1:16" ht="14.5" x14ac:dyDescent="0.35">
      <c r="A165" s="12">
        <v>164</v>
      </c>
      <c r="B165" s="13" t="s">
        <v>8</v>
      </c>
      <c r="C165" s="12">
        <v>623</v>
      </c>
      <c r="D165" s="12">
        <v>2015</v>
      </c>
      <c r="E165" s="13" t="s">
        <v>53</v>
      </c>
      <c r="F165" s="13" t="s">
        <v>10</v>
      </c>
      <c r="G165" s="15">
        <v>44545</v>
      </c>
      <c r="H165" s="12">
        <v>109</v>
      </c>
      <c r="I165" t="str">
        <v>Wellington</v>
      </c>
      <c r="J165" t="str">
        <v>New Zealand</v>
      </c>
      <c r="K165" t="str">
        <v>Trailer</v>
      </c>
      <c r="L165" t="str">
        <v>Standard</v>
      </c>
      <c r="P165">
        <f t="shared" si="2"/>
        <v>2</v>
      </c>
    </row>
    <row r="166" spans="1:16" ht="14.5" x14ac:dyDescent="0.35">
      <c r="A166" s="12">
        <v>165</v>
      </c>
      <c r="B166" s="13" t="s">
        <v>37</v>
      </c>
      <c r="C166" s="12">
        <v>514</v>
      </c>
      <c r="D166" s="12">
        <v>2015</v>
      </c>
      <c r="E166" s="13" t="s">
        <v>46</v>
      </c>
      <c r="F166" s="13" t="s">
        <v>10</v>
      </c>
      <c r="G166" s="15">
        <v>44546</v>
      </c>
      <c r="H166" s="12">
        <v>103</v>
      </c>
      <c r="I166" t="str">
        <v>Waikato</v>
      </c>
      <c r="J166" t="str">
        <v>New Zealand</v>
      </c>
      <c r="K166" t="str">
        <v>Briford</v>
      </c>
      <c r="L166" t="str">
        <v>Standard</v>
      </c>
      <c r="P166">
        <f t="shared" si="2"/>
        <v>1</v>
      </c>
    </row>
    <row r="167" spans="1:16" ht="14.5" x14ac:dyDescent="0.35">
      <c r="A167" s="12">
        <v>166</v>
      </c>
      <c r="B167" s="13" t="s">
        <v>37</v>
      </c>
      <c r="C167" s="12">
        <v>514</v>
      </c>
      <c r="D167" s="12">
        <v>2015</v>
      </c>
      <c r="E167" s="13" t="s">
        <v>46</v>
      </c>
      <c r="F167" s="13" t="s">
        <v>10</v>
      </c>
      <c r="G167" s="15">
        <v>44547</v>
      </c>
      <c r="H167" s="12">
        <v>102</v>
      </c>
      <c r="I167" t="str">
        <v>Auckland</v>
      </c>
      <c r="J167" t="str">
        <v>New Zealand</v>
      </c>
      <c r="K167" t="str">
        <v>Briford</v>
      </c>
      <c r="L167" t="str">
        <v>Standard</v>
      </c>
      <c r="P167">
        <f t="shared" si="2"/>
        <v>1</v>
      </c>
    </row>
    <row r="168" spans="1:16" ht="14.5" x14ac:dyDescent="0.35">
      <c r="A168" s="12">
        <v>167</v>
      </c>
      <c r="B168" s="13" t="s">
        <v>61</v>
      </c>
      <c r="C168" s="12">
        <v>525</v>
      </c>
      <c r="D168" s="12">
        <v>1972</v>
      </c>
      <c r="E168" s="13" t="s">
        <v>143</v>
      </c>
      <c r="F168" s="13" t="s">
        <v>69</v>
      </c>
      <c r="G168" s="15">
        <v>44547</v>
      </c>
      <c r="H168" s="12">
        <v>104</v>
      </c>
      <c r="I168" t="str">
        <v>Bay of Plenty</v>
      </c>
      <c r="J168" t="str">
        <v>New Zealand</v>
      </c>
      <c r="K168" t="str">
        <v>Classic</v>
      </c>
      <c r="L168" t="str">
        <v>Standard</v>
      </c>
      <c r="P168">
        <f t="shared" si="2"/>
        <v>1</v>
      </c>
    </row>
    <row r="169" spans="1:16" ht="14.5" x14ac:dyDescent="0.35">
      <c r="A169" s="12">
        <v>168</v>
      </c>
      <c r="B169" s="13" t="s">
        <v>37</v>
      </c>
      <c r="C169" s="12">
        <v>623</v>
      </c>
      <c r="D169" s="12">
        <v>2015</v>
      </c>
      <c r="E169" s="13" t="s">
        <v>144</v>
      </c>
      <c r="F169" s="13" t="s">
        <v>32</v>
      </c>
      <c r="G169" s="15">
        <v>44547</v>
      </c>
      <c r="H169" s="12">
        <v>107</v>
      </c>
      <c r="I169" t="str">
        <v>Taranaki</v>
      </c>
      <c r="J169" t="str">
        <v>New Zealand</v>
      </c>
      <c r="K169" t="str">
        <v>Trailer</v>
      </c>
      <c r="L169" t="str">
        <v>Standard</v>
      </c>
      <c r="P169">
        <f t="shared" si="2"/>
        <v>2</v>
      </c>
    </row>
    <row r="170" spans="1:16" ht="14.5" x14ac:dyDescent="0.35">
      <c r="A170" s="12">
        <v>169</v>
      </c>
      <c r="B170" s="13" t="s">
        <v>8</v>
      </c>
      <c r="C170" s="12">
        <v>623</v>
      </c>
      <c r="D170" s="12">
        <v>2015</v>
      </c>
      <c r="E170" s="13" t="s">
        <v>145</v>
      </c>
      <c r="F170" s="13" t="s">
        <v>10</v>
      </c>
      <c r="G170" s="15">
        <v>44547</v>
      </c>
      <c r="H170" s="12">
        <v>103</v>
      </c>
      <c r="I170" t="str">
        <v>Waikato</v>
      </c>
      <c r="J170" t="str">
        <v>New Zealand</v>
      </c>
      <c r="K170" t="str">
        <v>Trailer</v>
      </c>
      <c r="L170" t="str">
        <v>Standard</v>
      </c>
      <c r="P170">
        <f t="shared" si="2"/>
        <v>2</v>
      </c>
    </row>
    <row r="171" spans="1:16" ht="14.5" x14ac:dyDescent="0.35">
      <c r="A171" s="12">
        <v>170</v>
      </c>
      <c r="B171" s="13" t="s">
        <v>146</v>
      </c>
      <c r="C171" s="12">
        <v>565</v>
      </c>
      <c r="D171" s="12">
        <v>2020</v>
      </c>
      <c r="E171" s="13" t="s">
        <v>147</v>
      </c>
      <c r="F171" s="13" t="s">
        <v>123</v>
      </c>
      <c r="G171" s="15">
        <v>44548</v>
      </c>
      <c r="H171" s="12">
        <v>114</v>
      </c>
      <c r="I171" t="str">
        <v>Canterbury</v>
      </c>
      <c r="J171" t="str">
        <v>New Zealand</v>
      </c>
      <c r="K171" t="str">
        <v>KTM</v>
      </c>
      <c r="L171" t="str">
        <v>Standard</v>
      </c>
      <c r="P171">
        <f t="shared" si="2"/>
        <v>1</v>
      </c>
    </row>
    <row r="172" spans="1:16" ht="14.5" x14ac:dyDescent="0.35">
      <c r="A172" s="12">
        <v>171</v>
      </c>
      <c r="B172" s="13" t="s">
        <v>8</v>
      </c>
      <c r="C172" s="12">
        <v>623</v>
      </c>
      <c r="D172" s="12">
        <v>2016</v>
      </c>
      <c r="E172" s="13" t="s">
        <v>92</v>
      </c>
      <c r="F172" s="13" t="s">
        <v>10</v>
      </c>
      <c r="G172" s="15">
        <v>44549</v>
      </c>
      <c r="H172" s="12">
        <v>114</v>
      </c>
      <c r="I172" t="str">
        <v>Canterbury</v>
      </c>
      <c r="J172" t="str">
        <v>New Zealand</v>
      </c>
      <c r="K172" t="str">
        <v>Trailer</v>
      </c>
      <c r="L172" t="str">
        <v>Standard</v>
      </c>
      <c r="P172">
        <f t="shared" si="2"/>
        <v>4</v>
      </c>
    </row>
    <row r="173" spans="1:16" ht="14.5" x14ac:dyDescent="0.35">
      <c r="A173" s="12">
        <v>172</v>
      </c>
      <c r="B173" s="13" t="s">
        <v>8</v>
      </c>
      <c r="C173" s="12">
        <v>623</v>
      </c>
      <c r="D173" s="12">
        <v>2019</v>
      </c>
      <c r="E173" s="13" t="s">
        <v>148</v>
      </c>
      <c r="F173" s="13" t="s">
        <v>10</v>
      </c>
      <c r="G173" s="15">
        <v>44549</v>
      </c>
      <c r="H173" s="12">
        <v>115</v>
      </c>
      <c r="I173" t="str">
        <v>Otago</v>
      </c>
      <c r="J173" t="str">
        <v>New Zealand</v>
      </c>
      <c r="K173" t="str">
        <v>Trailer</v>
      </c>
      <c r="L173" t="str">
        <v>Standard</v>
      </c>
      <c r="P173">
        <f t="shared" si="2"/>
        <v>4</v>
      </c>
    </row>
    <row r="174" spans="1:16" ht="14.5" x14ac:dyDescent="0.35">
      <c r="A174" s="12">
        <v>173</v>
      </c>
      <c r="B174" s="13" t="s">
        <v>8</v>
      </c>
      <c r="C174" s="12">
        <v>623</v>
      </c>
      <c r="D174" s="12">
        <v>1998</v>
      </c>
      <c r="E174" s="13" t="s">
        <v>36</v>
      </c>
      <c r="F174" s="13" t="s">
        <v>10</v>
      </c>
      <c r="G174" s="15">
        <v>44549</v>
      </c>
      <c r="H174" s="12">
        <v>107</v>
      </c>
      <c r="I174" t="str">
        <v>Taranaki</v>
      </c>
      <c r="J174" t="str">
        <v>New Zealand</v>
      </c>
      <c r="K174" t="str">
        <v>Trailer</v>
      </c>
      <c r="L174" t="str">
        <v>Standard</v>
      </c>
      <c r="P174">
        <f t="shared" si="2"/>
        <v>4</v>
      </c>
    </row>
    <row r="175" spans="1:16" ht="14.5" x14ac:dyDescent="0.35">
      <c r="A175" s="12">
        <v>174</v>
      </c>
      <c r="B175" s="13" t="s">
        <v>11</v>
      </c>
      <c r="C175" s="12">
        <v>623</v>
      </c>
      <c r="D175" s="12">
        <v>2012</v>
      </c>
      <c r="E175" s="13" t="s">
        <v>20</v>
      </c>
      <c r="F175" s="13" t="s">
        <v>10</v>
      </c>
      <c r="G175" s="15">
        <v>44549</v>
      </c>
      <c r="H175" s="12">
        <v>102</v>
      </c>
      <c r="I175" t="str">
        <v>Auckland</v>
      </c>
      <c r="J175" t="str">
        <v>New Zealand</v>
      </c>
      <c r="K175" t="str">
        <v>Trailer</v>
      </c>
      <c r="L175" t="str">
        <v>Standard</v>
      </c>
      <c r="P175">
        <f t="shared" si="2"/>
        <v>4</v>
      </c>
    </row>
    <row r="176" spans="1:16" ht="14.5" x14ac:dyDescent="0.35">
      <c r="A176" s="12">
        <v>175</v>
      </c>
      <c r="B176" s="13" t="s">
        <v>37</v>
      </c>
      <c r="C176" s="12">
        <v>623</v>
      </c>
      <c r="D176" s="12">
        <v>2019</v>
      </c>
      <c r="E176" s="13" t="s">
        <v>149</v>
      </c>
      <c r="F176" s="13" t="s">
        <v>10</v>
      </c>
      <c r="G176" s="15">
        <v>44550</v>
      </c>
      <c r="H176" s="12">
        <v>102</v>
      </c>
      <c r="I176" t="str">
        <v>Auckland</v>
      </c>
      <c r="J176" t="str">
        <v>New Zealand</v>
      </c>
      <c r="K176" t="str">
        <v>Trailer</v>
      </c>
      <c r="L176" t="str">
        <v>Standard</v>
      </c>
      <c r="P176">
        <f t="shared" si="2"/>
        <v>1</v>
      </c>
    </row>
    <row r="177" spans="1:16" ht="14.5" x14ac:dyDescent="0.35">
      <c r="A177" s="12">
        <v>176</v>
      </c>
      <c r="B177" s="13" t="s">
        <v>8</v>
      </c>
      <c r="C177" s="12">
        <v>562</v>
      </c>
      <c r="D177" s="12">
        <v>2019</v>
      </c>
      <c r="E177" s="13" t="s">
        <v>150</v>
      </c>
      <c r="F177" s="13" t="s">
        <v>10</v>
      </c>
      <c r="G177" s="15">
        <v>44551</v>
      </c>
      <c r="H177" s="12">
        <v>104</v>
      </c>
      <c r="I177" t="str">
        <v>Bay of Plenty</v>
      </c>
      <c r="J177" t="str">
        <v>New Zealand</v>
      </c>
      <c r="K177" t="str">
        <v>Kea</v>
      </c>
      <c r="L177" t="str">
        <v>Standard</v>
      </c>
      <c r="P177">
        <f t="shared" si="2"/>
        <v>2</v>
      </c>
    </row>
    <row r="178" spans="1:16" ht="14.5" x14ac:dyDescent="0.35">
      <c r="A178" s="12">
        <v>177</v>
      </c>
      <c r="B178" s="13" t="s">
        <v>8</v>
      </c>
      <c r="C178" s="12">
        <v>562</v>
      </c>
      <c r="D178" s="12">
        <v>2019</v>
      </c>
      <c r="E178" s="13" t="s">
        <v>151</v>
      </c>
      <c r="F178" s="13" t="s">
        <v>10</v>
      </c>
      <c r="G178" s="15">
        <v>44551</v>
      </c>
      <c r="H178" s="12">
        <v>103</v>
      </c>
      <c r="I178" t="str">
        <v>Waikato</v>
      </c>
      <c r="J178" t="str">
        <v>New Zealand</v>
      </c>
      <c r="K178" t="str">
        <v>Kea</v>
      </c>
      <c r="L178" t="str">
        <v>Standard</v>
      </c>
      <c r="P178">
        <f t="shared" si="2"/>
        <v>2</v>
      </c>
    </row>
    <row r="179" spans="1:16" ht="14.5" x14ac:dyDescent="0.35">
      <c r="A179" s="12">
        <v>178</v>
      </c>
      <c r="B179" s="13" t="s">
        <v>11</v>
      </c>
      <c r="C179" s="12">
        <v>623</v>
      </c>
      <c r="D179" s="12">
        <v>2019</v>
      </c>
      <c r="E179" s="13" t="s">
        <v>79</v>
      </c>
      <c r="F179" s="13" t="s">
        <v>10</v>
      </c>
      <c r="G179" s="15">
        <v>44551</v>
      </c>
      <c r="H179" s="12">
        <v>102</v>
      </c>
      <c r="I179" t="str">
        <v>Auckland</v>
      </c>
      <c r="J179" t="str">
        <v>New Zealand</v>
      </c>
      <c r="K179" t="str">
        <v>Trailer</v>
      </c>
      <c r="L179" t="str">
        <v>Standard</v>
      </c>
      <c r="P179">
        <f t="shared" si="2"/>
        <v>1</v>
      </c>
    </row>
    <row r="180" spans="1:16" ht="14.5" x14ac:dyDescent="0.35">
      <c r="A180" s="12">
        <v>179</v>
      </c>
      <c r="B180" s="13" t="s">
        <v>37</v>
      </c>
      <c r="C180" s="12">
        <v>562</v>
      </c>
      <c r="D180" s="12">
        <v>2019</v>
      </c>
      <c r="E180" s="13" t="s">
        <v>152</v>
      </c>
      <c r="F180" s="13" t="s">
        <v>10</v>
      </c>
      <c r="G180" s="15">
        <v>44552</v>
      </c>
      <c r="H180" s="12">
        <v>103</v>
      </c>
      <c r="I180" t="str">
        <v>Waikato</v>
      </c>
      <c r="J180" t="str">
        <v>New Zealand</v>
      </c>
      <c r="K180" t="str">
        <v>Kea</v>
      </c>
      <c r="L180" t="str">
        <v>Standard</v>
      </c>
      <c r="P180">
        <f t="shared" si="2"/>
        <v>1</v>
      </c>
    </row>
    <row r="181" spans="1:16" ht="14.5" x14ac:dyDescent="0.35">
      <c r="A181" s="12">
        <v>180</v>
      </c>
      <c r="B181" s="13" t="s">
        <v>25</v>
      </c>
      <c r="C181" s="12">
        <v>629</v>
      </c>
      <c r="D181" s="12">
        <v>1963</v>
      </c>
      <c r="E181" s="13" t="s">
        <v>153</v>
      </c>
      <c r="F181" s="13" t="s">
        <v>154</v>
      </c>
      <c r="G181" s="15">
        <v>44553</v>
      </c>
      <c r="H181" s="12">
        <v>115</v>
      </c>
      <c r="I181" t="str">
        <v>Otago</v>
      </c>
      <c r="J181" t="str">
        <v>New Zealand</v>
      </c>
      <c r="K181" t="str">
        <v>Vespa</v>
      </c>
      <c r="L181" t="str">
        <v>Standard</v>
      </c>
      <c r="P181">
        <f t="shared" si="2"/>
        <v>1</v>
      </c>
    </row>
    <row r="182" spans="1:16" ht="14.5" x14ac:dyDescent="0.35">
      <c r="A182" s="12">
        <v>181</v>
      </c>
      <c r="B182" s="13" t="s">
        <v>8</v>
      </c>
      <c r="C182" s="12">
        <v>514</v>
      </c>
      <c r="D182" s="12">
        <v>2019</v>
      </c>
      <c r="E182" s="13" t="s">
        <v>155</v>
      </c>
      <c r="F182" s="13" t="s">
        <v>10</v>
      </c>
      <c r="G182" s="15">
        <v>44553</v>
      </c>
      <c r="H182" s="12">
        <v>114</v>
      </c>
      <c r="I182" t="str">
        <v>Canterbury</v>
      </c>
      <c r="J182" t="str">
        <v>New Zealand</v>
      </c>
      <c r="K182" t="str">
        <v>Briford</v>
      </c>
      <c r="L182" t="str">
        <v>Standard</v>
      </c>
      <c r="P182">
        <f t="shared" si="2"/>
        <v>1</v>
      </c>
    </row>
    <row r="183" spans="1:16" ht="14.5" x14ac:dyDescent="0.35">
      <c r="A183" s="12">
        <v>182</v>
      </c>
      <c r="B183" s="13" t="s">
        <v>8</v>
      </c>
      <c r="C183" s="12">
        <v>623</v>
      </c>
      <c r="D183" s="12">
        <v>2019</v>
      </c>
      <c r="E183" s="13" t="s">
        <v>156</v>
      </c>
      <c r="F183" s="13" t="s">
        <v>10</v>
      </c>
      <c r="G183" s="15">
        <v>44555</v>
      </c>
      <c r="H183" s="12">
        <v>104</v>
      </c>
      <c r="I183" t="str">
        <v>Bay of Plenty</v>
      </c>
      <c r="J183" t="str">
        <v>New Zealand</v>
      </c>
      <c r="K183" t="str">
        <v>Trailer</v>
      </c>
      <c r="L183" t="str">
        <v>Standard</v>
      </c>
      <c r="P183">
        <f t="shared" si="2"/>
        <v>1</v>
      </c>
    </row>
    <row r="184" spans="1:16" ht="14.5" x14ac:dyDescent="0.35">
      <c r="A184" s="12">
        <v>183</v>
      </c>
      <c r="B184" s="13" t="s">
        <v>16</v>
      </c>
      <c r="C184" s="12">
        <v>611</v>
      </c>
      <c r="D184" s="12">
        <v>2005</v>
      </c>
      <c r="E184" s="13" t="s">
        <v>157</v>
      </c>
      <c r="F184" s="13" t="s">
        <v>66</v>
      </c>
      <c r="G184" s="15">
        <v>44555</v>
      </c>
      <c r="H184" s="12">
        <v>114</v>
      </c>
      <c r="I184" t="str">
        <v>Canterbury</v>
      </c>
      <c r="J184" t="str">
        <v>New Zealand</v>
      </c>
      <c r="K184" t="str">
        <v>Suzuki</v>
      </c>
      <c r="L184" t="str">
        <v>Standard</v>
      </c>
      <c r="P184">
        <f t="shared" si="2"/>
        <v>1</v>
      </c>
    </row>
    <row r="185" spans="1:16" ht="14.5" x14ac:dyDescent="0.35">
      <c r="A185" s="12">
        <v>184</v>
      </c>
      <c r="B185" s="13" t="s">
        <v>8</v>
      </c>
      <c r="C185" s="12">
        <v>599</v>
      </c>
      <c r="D185" s="12">
        <v>2019</v>
      </c>
      <c r="E185" s="13" t="s">
        <v>33</v>
      </c>
      <c r="F185" s="13" t="s">
        <v>45</v>
      </c>
      <c r="G185" s="15">
        <v>44555</v>
      </c>
      <c r="H185" s="12">
        <v>101</v>
      </c>
      <c r="I185" t="str">
        <v>Northland</v>
      </c>
      <c r="J185" t="str">
        <v>New Zealand</v>
      </c>
      <c r="K185" t="str">
        <v>Rhino</v>
      </c>
      <c r="L185" t="str">
        <v>Standard</v>
      </c>
      <c r="P185">
        <f t="shared" si="2"/>
        <v>1</v>
      </c>
    </row>
    <row r="186" spans="1:16" ht="14.5" x14ac:dyDescent="0.35">
      <c r="A186" s="12">
        <v>185</v>
      </c>
      <c r="B186" s="13" t="s">
        <v>8</v>
      </c>
      <c r="C186" s="12">
        <v>549</v>
      </c>
      <c r="D186" s="12">
        <v>1990</v>
      </c>
      <c r="E186" s="13" t="s">
        <v>46</v>
      </c>
      <c r="F186" s="13" t="s">
        <v>28</v>
      </c>
      <c r="G186" s="15">
        <v>44556</v>
      </c>
      <c r="H186" s="12">
        <v>109</v>
      </c>
      <c r="I186" t="str">
        <v>Wellington</v>
      </c>
      <c r="J186" t="str">
        <v>New Zealand</v>
      </c>
      <c r="K186" t="str">
        <v>Homebuilt</v>
      </c>
      <c r="L186" t="str">
        <v>Standard</v>
      </c>
      <c r="P186">
        <f t="shared" si="2"/>
        <v>1</v>
      </c>
    </row>
    <row r="187" spans="1:16" ht="14.5" x14ac:dyDescent="0.35">
      <c r="A187" s="12">
        <v>186</v>
      </c>
      <c r="B187" s="13" t="s">
        <v>8</v>
      </c>
      <c r="C187" s="12">
        <v>623</v>
      </c>
      <c r="D187" s="12">
        <v>1981</v>
      </c>
      <c r="E187" s="13" t="s">
        <v>51</v>
      </c>
      <c r="F187" s="13" t="s">
        <v>45</v>
      </c>
      <c r="G187" s="15">
        <v>44556</v>
      </c>
      <c r="H187" s="12">
        <v>102</v>
      </c>
      <c r="I187" t="str">
        <v>Auckland</v>
      </c>
      <c r="J187" t="str">
        <v>New Zealand</v>
      </c>
      <c r="K187" t="str">
        <v>Trailer</v>
      </c>
      <c r="L187" t="str">
        <v>Standard</v>
      </c>
      <c r="P187">
        <f t="shared" si="2"/>
        <v>1</v>
      </c>
    </row>
    <row r="188" spans="1:16" ht="14.5" x14ac:dyDescent="0.35">
      <c r="A188" s="12">
        <v>187</v>
      </c>
      <c r="B188" s="13" t="s">
        <v>8</v>
      </c>
      <c r="C188" s="12">
        <v>623</v>
      </c>
      <c r="D188" s="12">
        <v>2019</v>
      </c>
      <c r="E188" s="13" t="s">
        <v>53</v>
      </c>
      <c r="F188" s="13" t="s">
        <v>10</v>
      </c>
      <c r="G188" s="15">
        <v>44557</v>
      </c>
      <c r="H188" s="12">
        <v>106</v>
      </c>
      <c r="I188" t="str">
        <v>Hawke's Bay</v>
      </c>
      <c r="J188" t="str">
        <v>New Zealand</v>
      </c>
      <c r="K188" t="str">
        <v>Trailer</v>
      </c>
      <c r="L188" t="str">
        <v>Standard</v>
      </c>
      <c r="P188">
        <f t="shared" si="2"/>
        <v>1</v>
      </c>
    </row>
    <row r="189" spans="1:16" ht="14.5" x14ac:dyDescent="0.35">
      <c r="A189" s="12">
        <v>188</v>
      </c>
      <c r="B189" s="13" t="s">
        <v>11</v>
      </c>
      <c r="C189" s="12">
        <v>513</v>
      </c>
      <c r="D189" s="12">
        <v>2019</v>
      </c>
      <c r="E189" s="13" t="s">
        <v>158</v>
      </c>
      <c r="F189" s="13" t="s">
        <v>10</v>
      </c>
      <c r="G189" s="15">
        <v>44557</v>
      </c>
      <c r="H189" s="12">
        <v>102</v>
      </c>
      <c r="I189" t="str">
        <v>Auckland</v>
      </c>
      <c r="J189" t="str">
        <v>New Zealand</v>
      </c>
      <c r="K189" t="str">
        <v>Bricon</v>
      </c>
      <c r="L189" t="str">
        <v>Standard</v>
      </c>
      <c r="P189">
        <f t="shared" si="2"/>
        <v>1</v>
      </c>
    </row>
    <row r="190" spans="1:16" ht="14.5" x14ac:dyDescent="0.35">
      <c r="A190" s="12">
        <v>189</v>
      </c>
      <c r="B190" s="13" t="s">
        <v>8</v>
      </c>
      <c r="C190" s="12">
        <v>623</v>
      </c>
      <c r="D190" s="12">
        <v>2019</v>
      </c>
      <c r="E190" s="13" t="s">
        <v>159</v>
      </c>
      <c r="F190" s="13" t="s">
        <v>10</v>
      </c>
      <c r="G190" s="15">
        <v>44558</v>
      </c>
      <c r="H190" s="12">
        <v>114</v>
      </c>
      <c r="I190" t="str">
        <v>Canterbury</v>
      </c>
      <c r="J190" t="str">
        <v>New Zealand</v>
      </c>
      <c r="K190" t="str">
        <v>Trailer</v>
      </c>
      <c r="L190" t="str">
        <v>Standard</v>
      </c>
      <c r="P190">
        <f t="shared" si="2"/>
        <v>2</v>
      </c>
    </row>
    <row r="191" spans="1:16" ht="14.5" x14ac:dyDescent="0.35">
      <c r="A191" s="12">
        <v>190</v>
      </c>
      <c r="B191" s="13" t="s">
        <v>8</v>
      </c>
      <c r="C191" s="12">
        <v>623</v>
      </c>
      <c r="D191" s="12">
        <v>1996</v>
      </c>
      <c r="E191" s="13" t="s">
        <v>160</v>
      </c>
      <c r="F191" s="13" t="s">
        <v>32</v>
      </c>
      <c r="G191" s="15">
        <v>44558</v>
      </c>
      <c r="H191" s="12">
        <v>114</v>
      </c>
      <c r="I191" t="str">
        <v>Canterbury</v>
      </c>
      <c r="J191" t="str">
        <v>New Zealand</v>
      </c>
      <c r="K191" t="str">
        <v>Trailer</v>
      </c>
      <c r="L191" t="str">
        <v>Standard</v>
      </c>
      <c r="P191">
        <f t="shared" si="2"/>
        <v>2</v>
      </c>
    </row>
    <row r="192" spans="1:16" ht="14.5" x14ac:dyDescent="0.35">
      <c r="A192" s="12">
        <v>191</v>
      </c>
      <c r="B192" s="13" t="s">
        <v>8</v>
      </c>
      <c r="C192" s="12">
        <v>623</v>
      </c>
      <c r="D192" s="12">
        <v>2019</v>
      </c>
      <c r="E192" s="13" t="s">
        <v>161</v>
      </c>
      <c r="F192" s="13" t="s">
        <v>10</v>
      </c>
      <c r="G192" s="15">
        <v>44559</v>
      </c>
      <c r="H192" s="12">
        <v>106</v>
      </c>
      <c r="I192" t="str">
        <v>Hawke's Bay</v>
      </c>
      <c r="J192" t="str">
        <v>New Zealand</v>
      </c>
      <c r="K192" t="str">
        <v>Trailer</v>
      </c>
      <c r="L192" t="str">
        <v>Standard</v>
      </c>
      <c r="P192">
        <f t="shared" si="2"/>
        <v>1</v>
      </c>
    </row>
    <row r="193" spans="1:16" ht="14.5" x14ac:dyDescent="0.35">
      <c r="A193" s="12">
        <v>192</v>
      </c>
      <c r="B193" s="13" t="s">
        <v>8</v>
      </c>
      <c r="C193" s="12">
        <v>562</v>
      </c>
      <c r="D193" s="12">
        <v>2019</v>
      </c>
      <c r="E193" s="13" t="s">
        <v>162</v>
      </c>
      <c r="F193" s="13" t="s">
        <v>10</v>
      </c>
      <c r="G193" s="15">
        <v>44559</v>
      </c>
      <c r="H193" s="12">
        <v>103</v>
      </c>
      <c r="I193" t="str">
        <v>Waikato</v>
      </c>
      <c r="J193" t="str">
        <v>New Zealand</v>
      </c>
      <c r="K193" t="str">
        <v>Kea</v>
      </c>
      <c r="L193" t="str">
        <v>Standard</v>
      </c>
      <c r="P193">
        <f t="shared" si="2"/>
        <v>1</v>
      </c>
    </row>
    <row r="194" spans="1:16" ht="14.5" x14ac:dyDescent="0.35">
      <c r="A194" s="12">
        <v>193</v>
      </c>
      <c r="B194" s="13" t="s">
        <v>8</v>
      </c>
      <c r="C194" s="12">
        <v>623</v>
      </c>
      <c r="D194" s="12">
        <v>2019</v>
      </c>
      <c r="E194" s="13" t="s">
        <v>100</v>
      </c>
      <c r="F194" s="13" t="s">
        <v>10</v>
      </c>
      <c r="G194" s="15">
        <v>44560</v>
      </c>
      <c r="H194" s="12">
        <v>102</v>
      </c>
      <c r="I194" t="str">
        <v>Auckland</v>
      </c>
      <c r="J194" t="str">
        <v>New Zealand</v>
      </c>
      <c r="K194" t="str">
        <v>Trailer</v>
      </c>
      <c r="L194" t="str">
        <v>Standard</v>
      </c>
      <c r="P194">
        <f t="shared" si="2"/>
        <v>2</v>
      </c>
    </row>
    <row r="195" spans="1:16" ht="14.5" x14ac:dyDescent="0.35">
      <c r="A195" s="12">
        <v>194</v>
      </c>
      <c r="B195" s="13" t="s">
        <v>61</v>
      </c>
      <c r="C195" s="12">
        <v>623</v>
      </c>
      <c r="D195" s="12">
        <v>2006</v>
      </c>
      <c r="E195" s="13" t="s">
        <v>163</v>
      </c>
      <c r="F195" s="13" t="s">
        <v>32</v>
      </c>
      <c r="G195" s="15">
        <v>44560</v>
      </c>
      <c r="H195" s="12">
        <v>102</v>
      </c>
      <c r="I195" t="str">
        <v>Auckland</v>
      </c>
      <c r="J195" t="str">
        <v>New Zealand</v>
      </c>
      <c r="K195" t="str">
        <v>Trailer</v>
      </c>
      <c r="L195" t="str">
        <v>Standard</v>
      </c>
      <c r="P195">
        <f t="shared" ref="P195:P258" si="3">COUNTIFS($G$2:$G$501,G195,$K$2:$K$501,K195)</f>
        <v>2</v>
      </c>
    </row>
    <row r="196" spans="1:16" ht="14.5" x14ac:dyDescent="0.35">
      <c r="A196" s="12">
        <v>195</v>
      </c>
      <c r="B196" s="13" t="s">
        <v>37</v>
      </c>
      <c r="C196" s="12">
        <v>514</v>
      </c>
      <c r="D196" s="12">
        <v>2015</v>
      </c>
      <c r="E196" s="13" t="s">
        <v>46</v>
      </c>
      <c r="F196" s="13" t="s">
        <v>10</v>
      </c>
      <c r="G196" s="15">
        <v>44560</v>
      </c>
      <c r="H196" s="12">
        <v>102</v>
      </c>
      <c r="I196" t="str">
        <v>Auckland</v>
      </c>
      <c r="J196" t="str">
        <v>New Zealand</v>
      </c>
      <c r="K196" t="str">
        <v>Briford</v>
      </c>
      <c r="L196" t="str">
        <v>Standard</v>
      </c>
      <c r="P196">
        <f t="shared" si="3"/>
        <v>1</v>
      </c>
    </row>
    <row r="197" spans="1:16" ht="14.5" x14ac:dyDescent="0.35">
      <c r="A197" s="12">
        <v>196</v>
      </c>
      <c r="B197" s="13" t="s">
        <v>8</v>
      </c>
      <c r="C197" s="12">
        <v>623</v>
      </c>
      <c r="D197" s="12">
        <v>1979</v>
      </c>
      <c r="E197" s="13" t="s">
        <v>51</v>
      </c>
      <c r="F197" s="13" t="s">
        <v>47</v>
      </c>
      <c r="G197" s="15">
        <v>44561</v>
      </c>
      <c r="H197" s="12">
        <v>114</v>
      </c>
      <c r="I197" t="str">
        <v>Canterbury</v>
      </c>
      <c r="J197" t="str">
        <v>New Zealand</v>
      </c>
      <c r="K197" t="str">
        <v>Trailer</v>
      </c>
      <c r="L197" t="str">
        <v>Standard</v>
      </c>
      <c r="P197">
        <f t="shared" si="3"/>
        <v>7</v>
      </c>
    </row>
    <row r="198" spans="1:16" ht="14.5" x14ac:dyDescent="0.35">
      <c r="A198" s="12">
        <v>197</v>
      </c>
      <c r="B198" s="13" t="s">
        <v>37</v>
      </c>
      <c r="C198" s="12">
        <v>623</v>
      </c>
      <c r="D198" s="12">
        <v>2019</v>
      </c>
      <c r="E198" s="13" t="s">
        <v>164</v>
      </c>
      <c r="F198" s="13" t="s">
        <v>10</v>
      </c>
      <c r="G198" s="15">
        <v>44561</v>
      </c>
      <c r="H198" s="12">
        <v>111</v>
      </c>
      <c r="I198" t="str">
        <v>Nelson</v>
      </c>
      <c r="J198" t="str">
        <v>New Zealand</v>
      </c>
      <c r="K198" t="str">
        <v>Trailer</v>
      </c>
      <c r="L198" t="str">
        <v>Standard</v>
      </c>
      <c r="P198">
        <f t="shared" si="3"/>
        <v>7</v>
      </c>
    </row>
    <row r="199" spans="1:16" ht="14.5" x14ac:dyDescent="0.35">
      <c r="A199" s="12">
        <v>198</v>
      </c>
      <c r="B199" s="13" t="s">
        <v>8</v>
      </c>
      <c r="C199" s="12">
        <v>623</v>
      </c>
      <c r="D199" s="12">
        <v>1999</v>
      </c>
      <c r="E199" s="13" t="s">
        <v>36</v>
      </c>
      <c r="F199" s="13" t="s">
        <v>10</v>
      </c>
      <c r="G199" s="15">
        <v>44561</v>
      </c>
      <c r="H199" s="12">
        <v>102</v>
      </c>
      <c r="I199" t="str">
        <v>Auckland</v>
      </c>
      <c r="J199" t="str">
        <v>New Zealand</v>
      </c>
      <c r="K199" t="str">
        <v>Trailer</v>
      </c>
      <c r="L199" t="str">
        <v>Standard</v>
      </c>
      <c r="P199">
        <f t="shared" si="3"/>
        <v>7</v>
      </c>
    </row>
    <row r="200" spans="1:16" ht="14.5" x14ac:dyDescent="0.35">
      <c r="A200" s="12">
        <v>199</v>
      </c>
      <c r="B200" s="13" t="s">
        <v>8</v>
      </c>
      <c r="C200" s="12">
        <v>623</v>
      </c>
      <c r="D200" s="12">
        <v>1998</v>
      </c>
      <c r="E200" s="13" t="s">
        <v>165</v>
      </c>
      <c r="F200" s="13" t="s">
        <v>10</v>
      </c>
      <c r="G200" s="15">
        <v>44561</v>
      </c>
      <c r="H200" s="12">
        <v>106</v>
      </c>
      <c r="I200" t="str">
        <v>Hawke's Bay</v>
      </c>
      <c r="J200" t="str">
        <v>New Zealand</v>
      </c>
      <c r="K200" t="str">
        <v>Trailer</v>
      </c>
      <c r="L200" t="str">
        <v>Standard</v>
      </c>
      <c r="P200">
        <f t="shared" si="3"/>
        <v>7</v>
      </c>
    </row>
    <row r="201" spans="1:16" ht="14.5" x14ac:dyDescent="0.35">
      <c r="A201" s="12">
        <v>200</v>
      </c>
      <c r="B201" s="13" t="s">
        <v>8</v>
      </c>
      <c r="C201" s="12">
        <v>623</v>
      </c>
      <c r="D201" s="12">
        <v>2001</v>
      </c>
      <c r="E201" s="13" t="s">
        <v>166</v>
      </c>
      <c r="F201" s="13" t="s">
        <v>45</v>
      </c>
      <c r="G201" s="15">
        <v>44561</v>
      </c>
      <c r="H201" s="12">
        <v>115</v>
      </c>
      <c r="I201" t="str">
        <v>Otago</v>
      </c>
      <c r="J201" t="str">
        <v>New Zealand</v>
      </c>
      <c r="K201" t="str">
        <v>Trailer</v>
      </c>
      <c r="L201" t="str">
        <v>Standard</v>
      </c>
      <c r="P201">
        <f t="shared" si="3"/>
        <v>7</v>
      </c>
    </row>
    <row r="202" spans="1:16" ht="14.5" x14ac:dyDescent="0.35">
      <c r="A202" s="12">
        <v>201</v>
      </c>
      <c r="B202" s="13" t="s">
        <v>37</v>
      </c>
      <c r="C202" s="12">
        <v>623</v>
      </c>
      <c r="D202" s="12">
        <v>2019</v>
      </c>
      <c r="E202" s="13" t="s">
        <v>73</v>
      </c>
      <c r="F202" s="13" t="s">
        <v>10</v>
      </c>
      <c r="G202" s="15">
        <v>44561</v>
      </c>
      <c r="H202" s="12">
        <v>101</v>
      </c>
      <c r="I202" t="str">
        <v>Northland</v>
      </c>
      <c r="J202" t="str">
        <v>New Zealand</v>
      </c>
      <c r="K202" t="str">
        <v>Trailer</v>
      </c>
      <c r="L202" t="str">
        <v>Standard</v>
      </c>
      <c r="P202">
        <f t="shared" si="3"/>
        <v>7</v>
      </c>
    </row>
    <row r="203" spans="1:16" ht="14.5" x14ac:dyDescent="0.35">
      <c r="A203" s="12">
        <v>202</v>
      </c>
      <c r="B203" s="13" t="s">
        <v>8</v>
      </c>
      <c r="C203" s="12">
        <v>623</v>
      </c>
      <c r="D203" s="12">
        <v>1977</v>
      </c>
      <c r="E203" s="13" t="s">
        <v>36</v>
      </c>
      <c r="F203" s="13" t="s">
        <v>123</v>
      </c>
      <c r="G203" s="15">
        <v>44561</v>
      </c>
      <c r="H203" s="12">
        <v>104</v>
      </c>
      <c r="I203" t="str">
        <v>Bay of Plenty</v>
      </c>
      <c r="J203" t="str">
        <v>New Zealand</v>
      </c>
      <c r="K203" t="str">
        <v>Trailer</v>
      </c>
      <c r="L203" t="str">
        <v>Standard</v>
      </c>
      <c r="P203">
        <f t="shared" si="3"/>
        <v>7</v>
      </c>
    </row>
    <row r="204" spans="1:16" ht="14.5" x14ac:dyDescent="0.35">
      <c r="A204" s="12">
        <v>203</v>
      </c>
      <c r="B204" s="13" t="s">
        <v>16</v>
      </c>
      <c r="C204" s="12">
        <v>625</v>
      </c>
      <c r="D204" s="12">
        <v>2004</v>
      </c>
      <c r="E204" s="13" t="s">
        <v>167</v>
      </c>
      <c r="F204" s="13" t="s">
        <v>69</v>
      </c>
      <c r="G204" s="14">
        <v>44562</v>
      </c>
      <c r="H204" s="12">
        <v>108</v>
      </c>
      <c r="I204" t="str">
        <v>Manawatū-Whanganui</v>
      </c>
      <c r="J204" t="str">
        <v>New Zealand</v>
      </c>
      <c r="K204" t="str">
        <v>Triumph</v>
      </c>
      <c r="L204" t="str">
        <v>Standard</v>
      </c>
      <c r="P204">
        <f t="shared" si="3"/>
        <v>1</v>
      </c>
    </row>
    <row r="205" spans="1:16" ht="14.5" x14ac:dyDescent="0.35">
      <c r="A205" s="12">
        <v>204</v>
      </c>
      <c r="B205" s="13" t="s">
        <v>8</v>
      </c>
      <c r="C205" s="12">
        <v>623</v>
      </c>
      <c r="D205" s="12">
        <v>2019</v>
      </c>
      <c r="E205" s="13" t="s">
        <v>168</v>
      </c>
      <c r="F205" s="13" t="s">
        <v>45</v>
      </c>
      <c r="G205" s="14">
        <v>44562</v>
      </c>
      <c r="H205" s="12">
        <v>106</v>
      </c>
      <c r="I205" t="str">
        <v>Hawke's Bay</v>
      </c>
      <c r="J205" t="str">
        <v>New Zealand</v>
      </c>
      <c r="K205" t="str">
        <v>Trailer</v>
      </c>
      <c r="L205" t="str">
        <v>Standard</v>
      </c>
      <c r="P205">
        <f t="shared" si="3"/>
        <v>2</v>
      </c>
    </row>
    <row r="206" spans="1:16" ht="14.5" x14ac:dyDescent="0.35">
      <c r="A206" s="12">
        <v>205</v>
      </c>
      <c r="B206" s="13" t="s">
        <v>8</v>
      </c>
      <c r="C206" s="12">
        <v>623</v>
      </c>
      <c r="D206" s="12">
        <v>2019</v>
      </c>
      <c r="E206" s="13" t="s">
        <v>71</v>
      </c>
      <c r="F206" s="13" t="s">
        <v>45</v>
      </c>
      <c r="G206" s="14">
        <v>44562</v>
      </c>
      <c r="H206" s="12">
        <v>114</v>
      </c>
      <c r="I206" t="str">
        <v>Canterbury</v>
      </c>
      <c r="J206" t="str">
        <v>New Zealand</v>
      </c>
      <c r="K206" t="str">
        <v>Trailer</v>
      </c>
      <c r="L206" t="str">
        <v>Standard</v>
      </c>
      <c r="P206">
        <f t="shared" si="3"/>
        <v>2</v>
      </c>
    </row>
    <row r="207" spans="1:16" ht="14.5" x14ac:dyDescent="0.35">
      <c r="A207" s="12">
        <v>206</v>
      </c>
      <c r="B207" s="13" t="s">
        <v>16</v>
      </c>
      <c r="C207" s="12">
        <v>611</v>
      </c>
      <c r="D207" s="12">
        <v>2005</v>
      </c>
      <c r="E207" s="13" t="s">
        <v>169</v>
      </c>
      <c r="F207" s="13" t="s">
        <v>18</v>
      </c>
      <c r="G207" s="14">
        <v>44563</v>
      </c>
      <c r="H207" s="12">
        <v>102</v>
      </c>
      <c r="I207" t="str">
        <v>Auckland</v>
      </c>
      <c r="J207" t="str">
        <v>New Zealand</v>
      </c>
      <c r="K207" t="str">
        <v>Suzuki</v>
      </c>
      <c r="L207" t="str">
        <v>Standard</v>
      </c>
      <c r="P207">
        <f t="shared" si="3"/>
        <v>1</v>
      </c>
    </row>
    <row r="208" spans="1:16" ht="14.5" x14ac:dyDescent="0.35">
      <c r="A208" s="12">
        <v>207</v>
      </c>
      <c r="B208" s="13" t="s">
        <v>16</v>
      </c>
      <c r="C208" s="12">
        <v>550</v>
      </c>
      <c r="D208" s="12">
        <v>1985</v>
      </c>
      <c r="E208" s="13" t="s">
        <v>170</v>
      </c>
      <c r="F208" s="13" t="s">
        <v>32</v>
      </c>
      <c r="G208" s="14">
        <v>44563</v>
      </c>
      <c r="H208" s="12">
        <v>109</v>
      </c>
      <c r="I208" t="str">
        <v>Wellington</v>
      </c>
      <c r="J208" t="str">
        <v>New Zealand</v>
      </c>
      <c r="K208" t="str">
        <v>Honda</v>
      </c>
      <c r="L208" t="str">
        <v>Standard</v>
      </c>
      <c r="P208">
        <f t="shared" si="3"/>
        <v>1</v>
      </c>
    </row>
    <row r="209" spans="1:16" ht="14.5" x14ac:dyDescent="0.35">
      <c r="A209" s="12">
        <v>208</v>
      </c>
      <c r="B209" s="13" t="s">
        <v>8</v>
      </c>
      <c r="C209" s="12">
        <v>623</v>
      </c>
      <c r="D209" s="12">
        <v>2019</v>
      </c>
      <c r="E209" s="13" t="s">
        <v>171</v>
      </c>
      <c r="F209" s="13" t="s">
        <v>45</v>
      </c>
      <c r="G209" s="14">
        <v>44563</v>
      </c>
      <c r="H209" s="12">
        <v>111</v>
      </c>
      <c r="I209" t="str">
        <v>Nelson</v>
      </c>
      <c r="J209" t="str">
        <v>New Zealand</v>
      </c>
      <c r="K209" t="str">
        <v>Trailer</v>
      </c>
      <c r="L209" t="str">
        <v>Standard</v>
      </c>
      <c r="P209">
        <f t="shared" si="3"/>
        <v>1</v>
      </c>
    </row>
    <row r="210" spans="1:16" ht="14.5" x14ac:dyDescent="0.35">
      <c r="A210" s="12">
        <v>209</v>
      </c>
      <c r="B210" s="13" t="s">
        <v>8</v>
      </c>
      <c r="C210" s="12">
        <v>623</v>
      </c>
      <c r="D210" s="12">
        <v>2019</v>
      </c>
      <c r="E210" s="13" t="s">
        <v>172</v>
      </c>
      <c r="F210" s="13" t="s">
        <v>10</v>
      </c>
      <c r="G210" s="14">
        <v>44564</v>
      </c>
      <c r="H210" s="12">
        <v>107</v>
      </c>
      <c r="I210" t="str">
        <v>Taranaki</v>
      </c>
      <c r="J210" t="str">
        <v>New Zealand</v>
      </c>
      <c r="K210" t="str">
        <v>Trailer</v>
      </c>
      <c r="L210" t="str">
        <v>Standard</v>
      </c>
      <c r="P210">
        <f t="shared" si="3"/>
        <v>3</v>
      </c>
    </row>
    <row r="211" spans="1:16" ht="14.5" x14ac:dyDescent="0.35">
      <c r="A211" s="12">
        <v>210</v>
      </c>
      <c r="B211" s="13" t="s">
        <v>8</v>
      </c>
      <c r="C211" s="12">
        <v>623</v>
      </c>
      <c r="D211" s="12">
        <v>2015</v>
      </c>
      <c r="E211" s="13" t="s">
        <v>173</v>
      </c>
      <c r="F211" s="13" t="s">
        <v>10</v>
      </c>
      <c r="G211" s="14">
        <v>44564</v>
      </c>
      <c r="H211" s="12">
        <v>102</v>
      </c>
      <c r="I211" t="str">
        <v>Auckland</v>
      </c>
      <c r="J211" t="str">
        <v>New Zealand</v>
      </c>
      <c r="K211" t="str">
        <v>Trailer</v>
      </c>
      <c r="L211" t="str">
        <v>Standard</v>
      </c>
      <c r="P211">
        <f t="shared" si="3"/>
        <v>3</v>
      </c>
    </row>
    <row r="212" spans="1:16" ht="14.5" x14ac:dyDescent="0.35">
      <c r="A212" s="12">
        <v>211</v>
      </c>
      <c r="B212" s="13" t="s">
        <v>8</v>
      </c>
      <c r="C212" s="12">
        <v>623</v>
      </c>
      <c r="D212" s="12">
        <v>2015</v>
      </c>
      <c r="E212" s="13" t="s">
        <v>112</v>
      </c>
      <c r="F212" s="13" t="s">
        <v>10</v>
      </c>
      <c r="G212" s="14">
        <v>44564</v>
      </c>
      <c r="H212" s="12">
        <v>102</v>
      </c>
      <c r="I212" t="str">
        <v>Auckland</v>
      </c>
      <c r="J212" t="str">
        <v>New Zealand</v>
      </c>
      <c r="K212" t="str">
        <v>Trailer</v>
      </c>
      <c r="L212" t="str">
        <v>Standard</v>
      </c>
      <c r="P212">
        <f t="shared" si="3"/>
        <v>3</v>
      </c>
    </row>
    <row r="213" spans="1:16" ht="14.5" x14ac:dyDescent="0.35">
      <c r="A213" s="12">
        <v>212</v>
      </c>
      <c r="B213" s="13" t="s">
        <v>8</v>
      </c>
      <c r="C213" s="12">
        <v>623</v>
      </c>
      <c r="D213" s="12">
        <v>2016</v>
      </c>
      <c r="E213" s="13" t="s">
        <v>174</v>
      </c>
      <c r="F213" s="13" t="s">
        <v>45</v>
      </c>
      <c r="G213" s="14">
        <v>44565</v>
      </c>
      <c r="H213" s="12">
        <v>109</v>
      </c>
      <c r="I213" t="str">
        <v>Wellington</v>
      </c>
      <c r="J213" t="str">
        <v>New Zealand</v>
      </c>
      <c r="K213" t="str">
        <v>Trailer</v>
      </c>
      <c r="L213" t="str">
        <v>Standard</v>
      </c>
      <c r="P213">
        <f t="shared" si="3"/>
        <v>1</v>
      </c>
    </row>
    <row r="214" spans="1:16" ht="14.5" x14ac:dyDescent="0.35">
      <c r="A214" s="12">
        <v>213</v>
      </c>
      <c r="B214" s="13" t="s">
        <v>61</v>
      </c>
      <c r="C214" s="12">
        <v>504</v>
      </c>
      <c r="D214" s="12">
        <v>1976</v>
      </c>
      <c r="E214" s="13" t="s">
        <v>175</v>
      </c>
      <c r="F214" s="13" t="s">
        <v>32</v>
      </c>
      <c r="G214" s="14">
        <v>44565</v>
      </c>
      <c r="H214" s="12">
        <v>102</v>
      </c>
      <c r="I214" t="str">
        <v>Auckland</v>
      </c>
      <c r="J214" t="str">
        <v>New Zealand</v>
      </c>
      <c r="K214" t="str">
        <v>Anglo</v>
      </c>
      <c r="L214" t="str">
        <v>Standard</v>
      </c>
      <c r="P214">
        <f t="shared" si="3"/>
        <v>1</v>
      </c>
    </row>
    <row r="215" spans="1:16" ht="14.5" x14ac:dyDescent="0.35">
      <c r="A215" s="12">
        <v>214</v>
      </c>
      <c r="B215" s="13" t="s">
        <v>37</v>
      </c>
      <c r="C215" s="12">
        <v>597</v>
      </c>
      <c r="D215" s="12">
        <v>2015</v>
      </c>
      <c r="E215" s="13" t="s">
        <v>46</v>
      </c>
      <c r="F215" s="13" t="s">
        <v>10</v>
      </c>
      <c r="G215" s="14">
        <v>44565</v>
      </c>
      <c r="H215" s="12">
        <v>102</v>
      </c>
      <c r="I215" t="str">
        <v>Auckland</v>
      </c>
      <c r="J215" t="str">
        <v>New Zealand</v>
      </c>
      <c r="K215" t="str">
        <v>Reid</v>
      </c>
      <c r="L215" t="str">
        <v>Standard</v>
      </c>
      <c r="P215">
        <f t="shared" si="3"/>
        <v>1</v>
      </c>
    </row>
    <row r="216" spans="1:16" ht="14.5" x14ac:dyDescent="0.35">
      <c r="A216" s="12">
        <v>215</v>
      </c>
      <c r="B216" s="13" t="s">
        <v>8</v>
      </c>
      <c r="C216" s="12">
        <v>572</v>
      </c>
      <c r="D216" s="12">
        <v>2015</v>
      </c>
      <c r="E216" s="13" t="s">
        <v>33</v>
      </c>
      <c r="F216" s="13" t="s">
        <v>10</v>
      </c>
      <c r="G216" s="15">
        <v>44574</v>
      </c>
      <c r="H216" s="12">
        <v>115</v>
      </c>
      <c r="I216" t="str">
        <v>Otago</v>
      </c>
      <c r="J216" t="str">
        <v>New Zealand</v>
      </c>
      <c r="K216" t="str">
        <v>Lochiel</v>
      </c>
      <c r="L216" t="str">
        <v>Standard</v>
      </c>
      <c r="P216">
        <f t="shared" si="3"/>
        <v>1</v>
      </c>
    </row>
    <row r="217" spans="1:16" ht="14.5" x14ac:dyDescent="0.35">
      <c r="A217" s="12">
        <v>216</v>
      </c>
      <c r="B217" s="13" t="s">
        <v>8</v>
      </c>
      <c r="C217" s="12">
        <v>514</v>
      </c>
      <c r="D217" s="12">
        <v>2008</v>
      </c>
      <c r="E217" s="13" t="s">
        <v>132</v>
      </c>
      <c r="F217" s="13" t="s">
        <v>10</v>
      </c>
      <c r="G217" s="15">
        <v>44574</v>
      </c>
      <c r="H217" s="12">
        <v>102</v>
      </c>
      <c r="I217" t="str">
        <v>Auckland</v>
      </c>
      <c r="J217" t="str">
        <v>New Zealand</v>
      </c>
      <c r="K217" t="str">
        <v>Briford</v>
      </c>
      <c r="L217" t="str">
        <v>Standard</v>
      </c>
      <c r="P217">
        <f t="shared" si="3"/>
        <v>1</v>
      </c>
    </row>
    <row r="218" spans="1:16" ht="14.5" x14ac:dyDescent="0.35">
      <c r="A218" s="12">
        <v>217</v>
      </c>
      <c r="B218" s="13" t="s">
        <v>37</v>
      </c>
      <c r="C218" s="12">
        <v>623</v>
      </c>
      <c r="D218" s="12">
        <v>1985</v>
      </c>
      <c r="E218" s="13" t="s">
        <v>176</v>
      </c>
      <c r="F218" s="13" t="s">
        <v>28</v>
      </c>
      <c r="G218" s="15">
        <v>44574</v>
      </c>
      <c r="H218" s="12">
        <v>103</v>
      </c>
      <c r="I218" t="str">
        <v>Waikato</v>
      </c>
      <c r="J218" t="str">
        <v>New Zealand</v>
      </c>
      <c r="K218" t="str">
        <v>Trailer</v>
      </c>
      <c r="L218" t="str">
        <v>Standard</v>
      </c>
      <c r="P218">
        <f t="shared" si="3"/>
        <v>3</v>
      </c>
    </row>
    <row r="219" spans="1:16" ht="14.5" x14ac:dyDescent="0.35">
      <c r="A219" s="12">
        <v>218</v>
      </c>
      <c r="B219" s="13" t="s">
        <v>8</v>
      </c>
      <c r="C219" s="12">
        <v>616</v>
      </c>
      <c r="D219" s="12">
        <v>2015</v>
      </c>
      <c r="E219" s="13" t="s">
        <v>177</v>
      </c>
      <c r="F219" s="13" t="s">
        <v>10</v>
      </c>
      <c r="G219" s="15">
        <v>44574</v>
      </c>
      <c r="H219" s="12">
        <v>102</v>
      </c>
      <c r="I219" t="str">
        <v>Auckland</v>
      </c>
      <c r="J219" t="str">
        <v>New Zealand</v>
      </c>
      <c r="K219" t="str">
        <v>Titan</v>
      </c>
      <c r="L219" t="str">
        <v>Standard</v>
      </c>
      <c r="P219">
        <f t="shared" si="3"/>
        <v>1</v>
      </c>
    </row>
    <row r="220" spans="1:16" ht="14.5" x14ac:dyDescent="0.35">
      <c r="A220" s="12">
        <v>219</v>
      </c>
      <c r="B220" s="13" t="s">
        <v>8</v>
      </c>
      <c r="C220" s="12">
        <v>623</v>
      </c>
      <c r="D220" s="12">
        <v>2002</v>
      </c>
      <c r="E220" s="13" t="s">
        <v>23</v>
      </c>
      <c r="F220" s="13" t="s">
        <v>45</v>
      </c>
      <c r="G220" s="15">
        <v>44574</v>
      </c>
      <c r="H220" s="12">
        <v>114</v>
      </c>
      <c r="I220" t="str">
        <v>Canterbury</v>
      </c>
      <c r="J220" t="str">
        <v>New Zealand</v>
      </c>
      <c r="K220" t="str">
        <v>Trailer</v>
      </c>
      <c r="L220" t="str">
        <v>Standard</v>
      </c>
      <c r="P220">
        <f t="shared" si="3"/>
        <v>3</v>
      </c>
    </row>
    <row r="221" spans="1:16" ht="14.5" x14ac:dyDescent="0.35">
      <c r="A221" s="12">
        <v>220</v>
      </c>
      <c r="B221" s="13" t="s">
        <v>8</v>
      </c>
      <c r="C221" s="12">
        <v>623</v>
      </c>
      <c r="D221" s="12">
        <v>2016</v>
      </c>
      <c r="E221" s="13" t="s">
        <v>58</v>
      </c>
      <c r="F221" s="13" t="s">
        <v>10</v>
      </c>
      <c r="G221" s="15">
        <v>44574</v>
      </c>
      <c r="H221" s="12">
        <v>101</v>
      </c>
      <c r="I221" t="str">
        <v>Northland</v>
      </c>
      <c r="J221" t="str">
        <v>New Zealand</v>
      </c>
      <c r="K221" t="str">
        <v>Trailer</v>
      </c>
      <c r="L221" t="str">
        <v>Standard</v>
      </c>
      <c r="P221">
        <f t="shared" si="3"/>
        <v>3</v>
      </c>
    </row>
    <row r="222" spans="1:16" ht="14.5" x14ac:dyDescent="0.35">
      <c r="A222" s="12">
        <v>221</v>
      </c>
      <c r="B222" s="13" t="s">
        <v>11</v>
      </c>
      <c r="C222" s="12">
        <v>623</v>
      </c>
      <c r="D222" s="12">
        <v>2000</v>
      </c>
      <c r="E222" s="13" t="s">
        <v>178</v>
      </c>
      <c r="F222" s="13" t="s">
        <v>18</v>
      </c>
      <c r="G222" s="15">
        <v>44575</v>
      </c>
      <c r="H222" s="12">
        <v>103</v>
      </c>
      <c r="I222" t="str">
        <v>Waikato</v>
      </c>
      <c r="J222" t="str">
        <v>New Zealand</v>
      </c>
      <c r="K222" t="str">
        <v>Trailer</v>
      </c>
      <c r="L222" t="str">
        <v>Standard</v>
      </c>
      <c r="P222">
        <f t="shared" si="3"/>
        <v>4</v>
      </c>
    </row>
    <row r="223" spans="1:16" ht="14.5" x14ac:dyDescent="0.35">
      <c r="A223" s="12">
        <v>222</v>
      </c>
      <c r="B223" s="13" t="s">
        <v>8</v>
      </c>
      <c r="C223" s="12">
        <v>623</v>
      </c>
      <c r="D223" s="12">
        <v>2016</v>
      </c>
      <c r="E223" s="13" t="s">
        <v>57</v>
      </c>
      <c r="F223" s="13" t="s">
        <v>10</v>
      </c>
      <c r="G223" s="15">
        <v>44575</v>
      </c>
      <c r="H223" s="12">
        <v>106</v>
      </c>
      <c r="I223" t="str">
        <v>Hawke's Bay</v>
      </c>
      <c r="J223" t="str">
        <v>New Zealand</v>
      </c>
      <c r="K223" t="str">
        <v>Trailer</v>
      </c>
      <c r="L223" t="str">
        <v>Standard</v>
      </c>
      <c r="P223">
        <f t="shared" si="3"/>
        <v>4</v>
      </c>
    </row>
    <row r="224" spans="1:16" ht="14.5" x14ac:dyDescent="0.35">
      <c r="A224" s="12">
        <v>223</v>
      </c>
      <c r="B224" s="13" t="s">
        <v>37</v>
      </c>
      <c r="C224" s="12">
        <v>623</v>
      </c>
      <c r="D224" s="12">
        <v>2016</v>
      </c>
      <c r="E224" s="13" t="s">
        <v>179</v>
      </c>
      <c r="F224" s="13" t="s">
        <v>32</v>
      </c>
      <c r="G224" s="15">
        <v>44575</v>
      </c>
      <c r="H224" s="12">
        <v>104</v>
      </c>
      <c r="I224" t="str">
        <v>Bay of Plenty</v>
      </c>
      <c r="J224" t="str">
        <v>New Zealand</v>
      </c>
      <c r="K224" t="str">
        <v>Trailer</v>
      </c>
      <c r="L224" t="str">
        <v>Standard</v>
      </c>
      <c r="P224">
        <f t="shared" si="3"/>
        <v>4</v>
      </c>
    </row>
    <row r="225" spans="1:16" ht="14.5" x14ac:dyDescent="0.35">
      <c r="A225" s="12">
        <v>224</v>
      </c>
      <c r="B225" s="13" t="s">
        <v>8</v>
      </c>
      <c r="C225" s="12">
        <v>572</v>
      </c>
      <c r="D225" s="12">
        <v>2016</v>
      </c>
      <c r="E225" s="13" t="s">
        <v>180</v>
      </c>
      <c r="F225" s="13" t="s">
        <v>10</v>
      </c>
      <c r="G225" s="15">
        <v>44575</v>
      </c>
      <c r="H225" s="12">
        <v>115</v>
      </c>
      <c r="I225" t="str">
        <v>Otago</v>
      </c>
      <c r="J225" t="str">
        <v>New Zealand</v>
      </c>
      <c r="K225" t="str">
        <v>Lochiel</v>
      </c>
      <c r="L225" t="str">
        <v>Standard</v>
      </c>
      <c r="P225">
        <f t="shared" si="3"/>
        <v>1</v>
      </c>
    </row>
    <row r="226" spans="1:16" ht="14.5" x14ac:dyDescent="0.35">
      <c r="A226" s="12">
        <v>225</v>
      </c>
      <c r="B226" s="13" t="s">
        <v>8</v>
      </c>
      <c r="C226" s="12">
        <v>623</v>
      </c>
      <c r="D226" s="12">
        <v>2019</v>
      </c>
      <c r="E226" s="13" t="s">
        <v>23</v>
      </c>
      <c r="F226" s="13" t="s">
        <v>10</v>
      </c>
      <c r="G226" s="15">
        <v>44575</v>
      </c>
      <c r="H226" s="12">
        <v>108</v>
      </c>
      <c r="I226" t="str">
        <v>Manawatū-Whanganui</v>
      </c>
      <c r="J226" t="str">
        <v>New Zealand</v>
      </c>
      <c r="K226" t="str">
        <v>Trailer</v>
      </c>
      <c r="L226" t="str">
        <v>Standard</v>
      </c>
      <c r="P226">
        <f t="shared" si="3"/>
        <v>4</v>
      </c>
    </row>
    <row r="227" spans="1:16" ht="14.5" x14ac:dyDescent="0.35">
      <c r="A227" s="12">
        <v>226</v>
      </c>
      <c r="B227" s="13" t="s">
        <v>8</v>
      </c>
      <c r="C227" s="12">
        <v>623</v>
      </c>
      <c r="D227" s="12">
        <v>2019</v>
      </c>
      <c r="E227" s="13" t="s">
        <v>181</v>
      </c>
      <c r="F227" s="13" t="s">
        <v>10</v>
      </c>
      <c r="G227" s="15">
        <v>44577</v>
      </c>
      <c r="H227" s="12">
        <v>114</v>
      </c>
      <c r="I227" t="str">
        <v>Canterbury</v>
      </c>
      <c r="J227" t="str">
        <v>New Zealand</v>
      </c>
      <c r="K227" t="str">
        <v>Trailer</v>
      </c>
      <c r="L227" t="str">
        <v>Standard</v>
      </c>
      <c r="P227">
        <f t="shared" si="3"/>
        <v>1</v>
      </c>
    </row>
    <row r="228" spans="1:16" ht="14.5" x14ac:dyDescent="0.35">
      <c r="A228" s="12">
        <v>227</v>
      </c>
      <c r="B228" s="13" t="s">
        <v>16</v>
      </c>
      <c r="C228" s="12">
        <v>611</v>
      </c>
      <c r="D228" s="12">
        <v>2007</v>
      </c>
      <c r="E228" s="13" t="s">
        <v>182</v>
      </c>
      <c r="F228" s="13" t="s">
        <v>45</v>
      </c>
      <c r="G228" s="15">
        <v>44577</v>
      </c>
      <c r="H228" s="12">
        <v>102</v>
      </c>
      <c r="I228" t="str">
        <v>Auckland</v>
      </c>
      <c r="J228" t="str">
        <v>New Zealand</v>
      </c>
      <c r="K228" t="str">
        <v>Suzuki</v>
      </c>
      <c r="L228" t="str">
        <v>Standard</v>
      </c>
      <c r="P228">
        <f t="shared" si="3"/>
        <v>1</v>
      </c>
    </row>
    <row r="229" spans="1:16" ht="14.5" x14ac:dyDescent="0.35">
      <c r="A229" s="12">
        <v>228</v>
      </c>
      <c r="B229" s="13" t="s">
        <v>8</v>
      </c>
      <c r="C229" s="12">
        <v>549</v>
      </c>
      <c r="D229" s="12">
        <v>1990</v>
      </c>
      <c r="E229" s="13" t="s">
        <v>46</v>
      </c>
      <c r="F229" s="13" t="s">
        <v>45</v>
      </c>
      <c r="G229" s="15">
        <v>44577</v>
      </c>
      <c r="H229" s="12">
        <v>114</v>
      </c>
      <c r="I229" t="str">
        <v>Canterbury</v>
      </c>
      <c r="J229" t="str">
        <v>New Zealand</v>
      </c>
      <c r="K229" t="str">
        <v>Homebuilt</v>
      </c>
      <c r="L229" t="str">
        <v>Standard</v>
      </c>
      <c r="P229">
        <f t="shared" si="3"/>
        <v>1</v>
      </c>
    </row>
    <row r="230" spans="1:16" ht="14.5" x14ac:dyDescent="0.35">
      <c r="A230" s="12">
        <v>229</v>
      </c>
      <c r="B230" s="13" t="s">
        <v>61</v>
      </c>
      <c r="C230" s="12">
        <v>525</v>
      </c>
      <c r="D230" s="12">
        <v>1979</v>
      </c>
      <c r="E230" s="13" t="s">
        <v>183</v>
      </c>
      <c r="F230" s="13" t="s">
        <v>28</v>
      </c>
      <c r="G230" s="15">
        <v>44578</v>
      </c>
      <c r="H230" s="12">
        <v>108</v>
      </c>
      <c r="I230" t="str">
        <v>Manawatū-Whanganui</v>
      </c>
      <c r="J230" t="str">
        <v>New Zealand</v>
      </c>
      <c r="K230" t="str">
        <v>Classic</v>
      </c>
      <c r="L230" t="str">
        <v>Standard</v>
      </c>
      <c r="P230">
        <f t="shared" si="3"/>
        <v>1</v>
      </c>
    </row>
    <row r="231" spans="1:16" ht="14.5" x14ac:dyDescent="0.35">
      <c r="A231" s="12">
        <v>230</v>
      </c>
      <c r="B231" s="13" t="s">
        <v>37</v>
      </c>
      <c r="C231" s="12">
        <v>623</v>
      </c>
      <c r="D231" s="12">
        <v>1976</v>
      </c>
      <c r="E231" s="13" t="s">
        <v>36</v>
      </c>
      <c r="F231" s="13" t="s">
        <v>10</v>
      </c>
      <c r="G231" s="15">
        <v>44578</v>
      </c>
      <c r="H231" s="12">
        <v>108</v>
      </c>
      <c r="I231" t="str">
        <v>Manawatū-Whanganui</v>
      </c>
      <c r="J231" t="str">
        <v>New Zealand</v>
      </c>
      <c r="K231" t="str">
        <v>Trailer</v>
      </c>
      <c r="L231" t="str">
        <v>Standard</v>
      </c>
      <c r="P231">
        <f t="shared" si="3"/>
        <v>1</v>
      </c>
    </row>
    <row r="232" spans="1:16" ht="14.5" x14ac:dyDescent="0.35">
      <c r="A232" s="12">
        <v>231</v>
      </c>
      <c r="B232" s="13" t="s">
        <v>8</v>
      </c>
      <c r="C232" s="12">
        <v>549</v>
      </c>
      <c r="D232" s="12">
        <v>1987</v>
      </c>
      <c r="E232" s="13" t="s">
        <v>46</v>
      </c>
      <c r="F232" s="13" t="s">
        <v>69</v>
      </c>
      <c r="G232" s="15">
        <v>44578</v>
      </c>
      <c r="H232" s="12">
        <v>115</v>
      </c>
      <c r="I232" t="str">
        <v>Otago</v>
      </c>
      <c r="J232" t="str">
        <v>New Zealand</v>
      </c>
      <c r="K232" t="str">
        <v>Homebuilt</v>
      </c>
      <c r="L232" t="str">
        <v>Standard</v>
      </c>
      <c r="P232">
        <f t="shared" si="3"/>
        <v>1</v>
      </c>
    </row>
    <row r="233" spans="1:16" ht="14.5" x14ac:dyDescent="0.35">
      <c r="A233" s="12">
        <v>232</v>
      </c>
      <c r="B233" s="13" t="s">
        <v>8</v>
      </c>
      <c r="C233" s="12">
        <v>616</v>
      </c>
      <c r="D233" s="12">
        <v>2019</v>
      </c>
      <c r="E233" s="13" t="s">
        <v>33</v>
      </c>
      <c r="F233" s="13" t="s">
        <v>10</v>
      </c>
      <c r="G233" s="15">
        <v>44578</v>
      </c>
      <c r="H233" s="12">
        <v>102</v>
      </c>
      <c r="I233" t="str">
        <v>Auckland</v>
      </c>
      <c r="J233" t="str">
        <v>New Zealand</v>
      </c>
      <c r="K233" t="str">
        <v>Titan</v>
      </c>
      <c r="L233" t="str">
        <v>Standard</v>
      </c>
      <c r="P233">
        <f t="shared" si="3"/>
        <v>1</v>
      </c>
    </row>
    <row r="234" spans="1:16" ht="14.5" x14ac:dyDescent="0.35">
      <c r="A234" s="12">
        <v>233</v>
      </c>
      <c r="B234" s="13" t="s">
        <v>8</v>
      </c>
      <c r="C234" s="12">
        <v>623</v>
      </c>
      <c r="D234" s="12">
        <v>2019</v>
      </c>
      <c r="E234" s="13" t="s">
        <v>51</v>
      </c>
      <c r="F234" s="13" t="s">
        <v>10</v>
      </c>
      <c r="G234" s="15">
        <v>44579</v>
      </c>
      <c r="H234" s="12">
        <v>108</v>
      </c>
      <c r="I234" t="str">
        <v>Manawatū-Whanganui</v>
      </c>
      <c r="J234" t="str">
        <v>New Zealand</v>
      </c>
      <c r="K234" t="str">
        <v>Trailer</v>
      </c>
      <c r="L234" t="str">
        <v>Standard</v>
      </c>
      <c r="P234">
        <f t="shared" si="3"/>
        <v>2</v>
      </c>
    </row>
    <row r="235" spans="1:16" ht="14.5" x14ac:dyDescent="0.35">
      <c r="A235" s="12">
        <v>234</v>
      </c>
      <c r="B235" s="13" t="s">
        <v>25</v>
      </c>
      <c r="C235" s="12">
        <v>594</v>
      </c>
      <c r="D235" s="12">
        <v>1998</v>
      </c>
      <c r="E235" s="13" t="s">
        <v>184</v>
      </c>
      <c r="F235" s="13" t="s">
        <v>28</v>
      </c>
      <c r="G235" s="15">
        <v>44579</v>
      </c>
      <c r="H235" s="12">
        <v>102</v>
      </c>
      <c r="I235" t="str">
        <v>Auckland</v>
      </c>
      <c r="J235" t="str">
        <v>New Zealand</v>
      </c>
      <c r="K235" t="str">
        <v>Piaggio</v>
      </c>
      <c r="L235" t="str">
        <v>Standard</v>
      </c>
      <c r="P235">
        <f t="shared" si="3"/>
        <v>1</v>
      </c>
    </row>
    <row r="236" spans="1:16" ht="14.5" x14ac:dyDescent="0.35">
      <c r="A236" s="12">
        <v>235</v>
      </c>
      <c r="B236" s="13" t="s">
        <v>16</v>
      </c>
      <c r="C236" s="12">
        <v>611</v>
      </c>
      <c r="D236" s="12">
        <v>2003</v>
      </c>
      <c r="E236" s="13" t="s">
        <v>185</v>
      </c>
      <c r="F236" s="13" t="s">
        <v>10</v>
      </c>
      <c r="G236" s="15">
        <v>44579</v>
      </c>
      <c r="H236" s="12">
        <v>104</v>
      </c>
      <c r="I236" t="str">
        <v>Bay of Plenty</v>
      </c>
      <c r="J236" t="str">
        <v>New Zealand</v>
      </c>
      <c r="K236" t="str">
        <v>Suzuki</v>
      </c>
      <c r="L236" t="str">
        <v>Standard</v>
      </c>
      <c r="P236">
        <f t="shared" si="3"/>
        <v>2</v>
      </c>
    </row>
    <row r="237" spans="1:16" ht="14.5" x14ac:dyDescent="0.35">
      <c r="A237" s="12">
        <v>236</v>
      </c>
      <c r="B237" s="13" t="s">
        <v>16</v>
      </c>
      <c r="C237" s="12">
        <v>611</v>
      </c>
      <c r="D237" s="12">
        <v>2009</v>
      </c>
      <c r="E237" s="13" t="s">
        <v>186</v>
      </c>
      <c r="F237" s="13" t="s">
        <v>18</v>
      </c>
      <c r="G237" s="15">
        <v>44579</v>
      </c>
      <c r="H237" s="12">
        <v>102</v>
      </c>
      <c r="I237" t="str">
        <v>Auckland</v>
      </c>
      <c r="J237" t="str">
        <v>New Zealand</v>
      </c>
      <c r="K237" t="str">
        <v>Suzuki</v>
      </c>
      <c r="L237" t="str">
        <v>Standard</v>
      </c>
      <c r="P237">
        <f t="shared" si="3"/>
        <v>2</v>
      </c>
    </row>
    <row r="238" spans="1:16" ht="14.5" x14ac:dyDescent="0.35">
      <c r="A238" s="12">
        <v>237</v>
      </c>
      <c r="B238" s="13" t="s">
        <v>8</v>
      </c>
      <c r="C238" s="12">
        <v>623</v>
      </c>
      <c r="D238" s="12">
        <v>2002</v>
      </c>
      <c r="E238" s="13" t="s">
        <v>33</v>
      </c>
      <c r="F238" s="13" t="s">
        <v>45</v>
      </c>
      <c r="G238" s="15">
        <v>44579</v>
      </c>
      <c r="H238" s="12">
        <v>102</v>
      </c>
      <c r="I238" t="str">
        <v>Auckland</v>
      </c>
      <c r="J238" t="str">
        <v>New Zealand</v>
      </c>
      <c r="K238" t="str">
        <v>Trailer</v>
      </c>
      <c r="L238" t="str">
        <v>Standard</v>
      </c>
      <c r="P238">
        <f t="shared" si="3"/>
        <v>2</v>
      </c>
    </row>
    <row r="239" spans="1:16" ht="14.5" x14ac:dyDescent="0.35">
      <c r="A239" s="12">
        <v>238</v>
      </c>
      <c r="B239" s="13" t="s">
        <v>8</v>
      </c>
      <c r="C239" s="12">
        <v>514</v>
      </c>
      <c r="D239" s="12">
        <v>2019</v>
      </c>
      <c r="E239" s="13" t="s">
        <v>187</v>
      </c>
      <c r="F239" s="13" t="s">
        <v>10</v>
      </c>
      <c r="G239" s="15">
        <v>44580</v>
      </c>
      <c r="H239" s="12">
        <v>114</v>
      </c>
      <c r="I239" t="str">
        <v>Canterbury</v>
      </c>
      <c r="J239" t="str">
        <v>New Zealand</v>
      </c>
      <c r="K239" t="str">
        <v>Briford</v>
      </c>
      <c r="L239" t="str">
        <v>Standard</v>
      </c>
      <c r="P239">
        <f t="shared" si="3"/>
        <v>1</v>
      </c>
    </row>
    <row r="240" spans="1:16" ht="14.5" x14ac:dyDescent="0.35">
      <c r="A240" s="12">
        <v>239</v>
      </c>
      <c r="B240" s="13" t="s">
        <v>8</v>
      </c>
      <c r="C240" s="12">
        <v>623</v>
      </c>
      <c r="D240" s="12">
        <v>2016</v>
      </c>
      <c r="E240" s="13" t="s">
        <v>120</v>
      </c>
      <c r="F240" s="13" t="s">
        <v>10</v>
      </c>
      <c r="G240" s="15">
        <v>44580</v>
      </c>
      <c r="H240" s="12">
        <v>102</v>
      </c>
      <c r="I240" t="str">
        <v>Auckland</v>
      </c>
      <c r="J240" t="str">
        <v>New Zealand</v>
      </c>
      <c r="K240" t="str">
        <v>Trailer</v>
      </c>
      <c r="L240" t="str">
        <v>Standard</v>
      </c>
      <c r="P240">
        <f t="shared" si="3"/>
        <v>2</v>
      </c>
    </row>
    <row r="241" spans="1:16" ht="14.5" x14ac:dyDescent="0.35">
      <c r="A241" s="12">
        <v>240</v>
      </c>
      <c r="B241" s="13" t="s">
        <v>8</v>
      </c>
      <c r="C241" s="12">
        <v>623</v>
      </c>
      <c r="D241" s="12">
        <v>2019</v>
      </c>
      <c r="E241" s="13" t="s">
        <v>57</v>
      </c>
      <c r="F241" s="13" t="s">
        <v>10</v>
      </c>
      <c r="G241" s="15">
        <v>44580</v>
      </c>
      <c r="H241" s="12">
        <v>114</v>
      </c>
      <c r="I241" t="str">
        <v>Canterbury</v>
      </c>
      <c r="J241" t="str">
        <v>New Zealand</v>
      </c>
      <c r="K241" t="str">
        <v>Trailer</v>
      </c>
      <c r="L241" t="str">
        <v>Standard</v>
      </c>
      <c r="P241">
        <f t="shared" si="3"/>
        <v>2</v>
      </c>
    </row>
    <row r="242" spans="1:16" ht="14.5" x14ac:dyDescent="0.35">
      <c r="A242" s="12">
        <v>241</v>
      </c>
      <c r="B242" s="13" t="s">
        <v>16</v>
      </c>
      <c r="C242" s="12">
        <v>611</v>
      </c>
      <c r="D242" s="12">
        <v>2007</v>
      </c>
      <c r="E242" s="13" t="s">
        <v>186</v>
      </c>
      <c r="F242" s="13" t="s">
        <v>18</v>
      </c>
      <c r="G242" s="15">
        <v>44581</v>
      </c>
      <c r="H242" s="12">
        <v>102</v>
      </c>
      <c r="I242" t="str">
        <v>Auckland</v>
      </c>
      <c r="J242" t="str">
        <v>New Zealand</v>
      </c>
      <c r="K242" t="str">
        <v>Suzuki</v>
      </c>
      <c r="L242" t="str">
        <v>Standard</v>
      </c>
      <c r="P242">
        <f t="shared" si="3"/>
        <v>1</v>
      </c>
    </row>
    <row r="243" spans="1:16" ht="14.5" x14ac:dyDescent="0.35">
      <c r="A243" s="12">
        <v>242</v>
      </c>
      <c r="B243" s="13" t="s">
        <v>8</v>
      </c>
      <c r="C243" s="12">
        <v>549</v>
      </c>
      <c r="D243" s="12">
        <v>1977</v>
      </c>
      <c r="E243" s="13" t="s">
        <v>188</v>
      </c>
      <c r="F243" s="13" t="s">
        <v>10</v>
      </c>
      <c r="G243" s="15">
        <v>44581</v>
      </c>
      <c r="H243" s="12">
        <v>107</v>
      </c>
      <c r="I243" t="str">
        <v>Taranaki</v>
      </c>
      <c r="J243" t="str">
        <v>New Zealand</v>
      </c>
      <c r="K243" t="str">
        <v>Homebuilt</v>
      </c>
      <c r="L243" t="str">
        <v>Standard</v>
      </c>
      <c r="P243">
        <f t="shared" si="3"/>
        <v>1</v>
      </c>
    </row>
    <row r="244" spans="1:16" ht="14.5" x14ac:dyDescent="0.35">
      <c r="A244" s="12">
        <v>243</v>
      </c>
      <c r="B244" s="13" t="s">
        <v>8</v>
      </c>
      <c r="C244" s="12">
        <v>623</v>
      </c>
      <c r="D244" s="12">
        <v>2001</v>
      </c>
      <c r="E244" s="13" t="s">
        <v>33</v>
      </c>
      <c r="F244" s="13" t="s">
        <v>10</v>
      </c>
      <c r="G244" s="15">
        <v>44581</v>
      </c>
      <c r="H244" s="12">
        <v>108</v>
      </c>
      <c r="I244" t="str">
        <v>Manawatū-Whanganui</v>
      </c>
      <c r="J244" t="str">
        <v>New Zealand</v>
      </c>
      <c r="K244" t="str">
        <v>Trailer</v>
      </c>
      <c r="L244" t="str">
        <v>Standard</v>
      </c>
      <c r="P244">
        <f t="shared" si="3"/>
        <v>4</v>
      </c>
    </row>
    <row r="245" spans="1:16" ht="14.5" x14ac:dyDescent="0.35">
      <c r="A245" s="12">
        <v>244</v>
      </c>
      <c r="B245" s="13" t="s">
        <v>11</v>
      </c>
      <c r="C245" s="12">
        <v>623</v>
      </c>
      <c r="D245" s="12">
        <v>2019</v>
      </c>
      <c r="E245" s="13" t="s">
        <v>23</v>
      </c>
      <c r="F245" s="13" t="s">
        <v>10</v>
      </c>
      <c r="G245" s="15">
        <v>44581</v>
      </c>
      <c r="H245" s="12">
        <v>102</v>
      </c>
      <c r="I245" t="str">
        <v>Auckland</v>
      </c>
      <c r="J245" t="str">
        <v>New Zealand</v>
      </c>
      <c r="K245" t="str">
        <v>Trailer</v>
      </c>
      <c r="L245" t="str">
        <v>Standard</v>
      </c>
      <c r="P245">
        <f t="shared" si="3"/>
        <v>4</v>
      </c>
    </row>
    <row r="246" spans="1:16" ht="14.5" x14ac:dyDescent="0.35">
      <c r="A246" s="12">
        <v>245</v>
      </c>
      <c r="B246" s="13" t="s">
        <v>11</v>
      </c>
      <c r="C246" s="12">
        <v>623</v>
      </c>
      <c r="D246" s="12">
        <v>2019</v>
      </c>
      <c r="E246" s="13" t="s">
        <v>20</v>
      </c>
      <c r="F246" s="13" t="s">
        <v>10</v>
      </c>
      <c r="G246" s="15">
        <v>44581</v>
      </c>
      <c r="H246" s="12">
        <v>101</v>
      </c>
      <c r="I246" t="str">
        <v>Northland</v>
      </c>
      <c r="J246" t="str">
        <v>New Zealand</v>
      </c>
      <c r="K246" t="str">
        <v>Trailer</v>
      </c>
      <c r="L246" t="str">
        <v>Standard</v>
      </c>
      <c r="P246">
        <f t="shared" si="3"/>
        <v>4</v>
      </c>
    </row>
    <row r="247" spans="1:16" ht="14.5" x14ac:dyDescent="0.35">
      <c r="A247" s="12">
        <v>246</v>
      </c>
      <c r="B247" s="13" t="s">
        <v>8</v>
      </c>
      <c r="C247" s="12">
        <v>623</v>
      </c>
      <c r="D247" s="12">
        <v>2019</v>
      </c>
      <c r="E247" s="13" t="s">
        <v>23</v>
      </c>
      <c r="F247" s="13" t="s">
        <v>18</v>
      </c>
      <c r="G247" s="15">
        <v>44581</v>
      </c>
      <c r="H247" s="12">
        <v>106</v>
      </c>
      <c r="I247" t="str">
        <v>Hawke's Bay</v>
      </c>
      <c r="J247" t="str">
        <v>New Zealand</v>
      </c>
      <c r="K247" t="str">
        <v>Trailer</v>
      </c>
      <c r="L247" t="str">
        <v>Standard</v>
      </c>
      <c r="P247">
        <f t="shared" si="3"/>
        <v>4</v>
      </c>
    </row>
    <row r="248" spans="1:16" ht="14.5" x14ac:dyDescent="0.35">
      <c r="A248" s="12">
        <v>247</v>
      </c>
      <c r="B248" s="13" t="s">
        <v>8</v>
      </c>
      <c r="C248" s="12">
        <v>516</v>
      </c>
      <c r="D248" s="12">
        <v>2019</v>
      </c>
      <c r="E248" s="13" t="s">
        <v>189</v>
      </c>
      <c r="F248" s="13" t="s">
        <v>10</v>
      </c>
      <c r="G248" s="15">
        <v>44582</v>
      </c>
      <c r="H248" s="12">
        <v>114</v>
      </c>
      <c r="I248" t="str">
        <v>Canterbury</v>
      </c>
      <c r="J248" t="str">
        <v>New Zealand</v>
      </c>
      <c r="K248" t="str">
        <v>Buffalo</v>
      </c>
      <c r="L248" t="str">
        <v>Standard</v>
      </c>
      <c r="P248">
        <f t="shared" si="3"/>
        <v>1</v>
      </c>
    </row>
    <row r="249" spans="1:16" ht="14.5" x14ac:dyDescent="0.35">
      <c r="A249" s="12">
        <v>248</v>
      </c>
      <c r="B249" s="13" t="s">
        <v>11</v>
      </c>
      <c r="C249" s="12">
        <v>623</v>
      </c>
      <c r="D249" s="12">
        <v>2019</v>
      </c>
      <c r="E249" s="13" t="s">
        <v>20</v>
      </c>
      <c r="F249" s="13" t="s">
        <v>10</v>
      </c>
      <c r="G249" s="15">
        <v>44583</v>
      </c>
      <c r="H249" s="12">
        <v>102</v>
      </c>
      <c r="I249" t="str">
        <v>Auckland</v>
      </c>
      <c r="J249" t="str">
        <v>New Zealand</v>
      </c>
      <c r="K249" t="str">
        <v>Trailer</v>
      </c>
      <c r="L249" t="str">
        <v>Standard</v>
      </c>
      <c r="P249">
        <f t="shared" si="3"/>
        <v>1</v>
      </c>
    </row>
    <row r="250" spans="1:16" ht="14.5" x14ac:dyDescent="0.35">
      <c r="A250" s="12">
        <v>249</v>
      </c>
      <c r="B250" s="13" t="s">
        <v>8</v>
      </c>
      <c r="C250" s="12">
        <v>623</v>
      </c>
      <c r="D250" s="12">
        <v>2019</v>
      </c>
      <c r="E250" s="13" t="s">
        <v>190</v>
      </c>
      <c r="F250" s="13" t="s">
        <v>10</v>
      </c>
      <c r="G250" s="15">
        <v>44584</v>
      </c>
      <c r="H250" s="12">
        <v>114</v>
      </c>
      <c r="I250" t="str">
        <v>Canterbury</v>
      </c>
      <c r="J250" t="str">
        <v>New Zealand</v>
      </c>
      <c r="K250" t="str">
        <v>Trailer</v>
      </c>
      <c r="L250" t="str">
        <v>Standard</v>
      </c>
      <c r="P250">
        <f t="shared" si="3"/>
        <v>1</v>
      </c>
    </row>
    <row r="251" spans="1:16" ht="14.5" x14ac:dyDescent="0.35">
      <c r="A251" s="12">
        <v>250</v>
      </c>
      <c r="B251" s="13" t="s">
        <v>8</v>
      </c>
      <c r="C251" s="12">
        <v>549</v>
      </c>
      <c r="D251" s="12">
        <v>2019</v>
      </c>
      <c r="E251" s="13" t="s">
        <v>33</v>
      </c>
      <c r="F251" s="13" t="s">
        <v>18</v>
      </c>
      <c r="G251" s="15">
        <v>44584</v>
      </c>
      <c r="H251" s="12">
        <v>102</v>
      </c>
      <c r="I251" t="str">
        <v>Auckland</v>
      </c>
      <c r="J251" t="str">
        <v>New Zealand</v>
      </c>
      <c r="K251" t="str">
        <v>Homebuilt</v>
      </c>
      <c r="L251" t="str">
        <v>Standard</v>
      </c>
      <c r="P251">
        <f t="shared" si="3"/>
        <v>1</v>
      </c>
    </row>
    <row r="252" spans="1:16" ht="14.5" x14ac:dyDescent="0.35">
      <c r="A252" s="12">
        <v>251</v>
      </c>
      <c r="B252" s="13" t="s">
        <v>8</v>
      </c>
      <c r="C252" s="12">
        <v>623</v>
      </c>
      <c r="D252" s="12">
        <v>1940</v>
      </c>
      <c r="E252" s="13" t="s">
        <v>23</v>
      </c>
      <c r="F252" s="13" t="s">
        <v>32</v>
      </c>
      <c r="G252" s="15">
        <v>44585</v>
      </c>
      <c r="H252" s="12">
        <v>115</v>
      </c>
      <c r="I252" t="str">
        <v>Otago</v>
      </c>
      <c r="J252" t="str">
        <v>New Zealand</v>
      </c>
      <c r="K252" t="str">
        <v>Trailer</v>
      </c>
      <c r="L252" t="str">
        <v>Standard</v>
      </c>
      <c r="P252">
        <f t="shared" si="3"/>
        <v>3</v>
      </c>
    </row>
    <row r="253" spans="1:16" ht="14.5" x14ac:dyDescent="0.35">
      <c r="A253" s="12">
        <v>252</v>
      </c>
      <c r="B253" s="13" t="s">
        <v>8</v>
      </c>
      <c r="C253" s="12">
        <v>538</v>
      </c>
      <c r="D253" s="12">
        <v>2019</v>
      </c>
      <c r="E253" s="13" t="s">
        <v>33</v>
      </c>
      <c r="F253" s="13" t="s">
        <v>10</v>
      </c>
      <c r="G253" s="15">
        <v>44585</v>
      </c>
      <c r="H253" s="12">
        <v>109</v>
      </c>
      <c r="I253" t="str">
        <v>Wellington</v>
      </c>
      <c r="J253" t="str">
        <v>New Zealand</v>
      </c>
      <c r="K253" t="str">
        <v>Factory Built</v>
      </c>
      <c r="L253" t="str">
        <v>Standard</v>
      </c>
      <c r="P253">
        <f t="shared" si="3"/>
        <v>1</v>
      </c>
    </row>
    <row r="254" spans="1:16" ht="14.5" x14ac:dyDescent="0.35">
      <c r="A254" s="12">
        <v>253</v>
      </c>
      <c r="B254" s="13" t="s">
        <v>37</v>
      </c>
      <c r="C254" s="12">
        <v>623</v>
      </c>
      <c r="D254" s="12">
        <v>2019</v>
      </c>
      <c r="E254" s="13" t="s">
        <v>121</v>
      </c>
      <c r="F254" s="13" t="s">
        <v>10</v>
      </c>
      <c r="G254" s="15">
        <v>44585</v>
      </c>
      <c r="H254" s="12">
        <v>104</v>
      </c>
      <c r="I254" t="str">
        <v>Bay of Plenty</v>
      </c>
      <c r="J254" t="str">
        <v>New Zealand</v>
      </c>
      <c r="K254" t="str">
        <v>Trailer</v>
      </c>
      <c r="L254" t="str">
        <v>Standard</v>
      </c>
      <c r="P254">
        <f t="shared" si="3"/>
        <v>3</v>
      </c>
    </row>
    <row r="255" spans="1:16" ht="14.5" x14ac:dyDescent="0.35">
      <c r="A255" s="12">
        <v>254</v>
      </c>
      <c r="B255" s="13" t="s">
        <v>8</v>
      </c>
      <c r="C255" s="12">
        <v>623</v>
      </c>
      <c r="D255" s="12">
        <v>1997</v>
      </c>
      <c r="E255" s="13" t="s">
        <v>191</v>
      </c>
      <c r="F255" s="13" t="s">
        <v>10</v>
      </c>
      <c r="G255" s="15">
        <v>44585</v>
      </c>
      <c r="H255" s="12">
        <v>111</v>
      </c>
      <c r="I255" t="str">
        <v>Nelson</v>
      </c>
      <c r="J255" t="str">
        <v>New Zealand</v>
      </c>
      <c r="K255" t="str">
        <v>Trailer</v>
      </c>
      <c r="L255" t="str">
        <v>Standard</v>
      </c>
      <c r="P255">
        <f t="shared" si="3"/>
        <v>3</v>
      </c>
    </row>
    <row r="256" spans="1:16" ht="14.5" x14ac:dyDescent="0.35">
      <c r="A256" s="12">
        <v>255</v>
      </c>
      <c r="B256" s="13" t="s">
        <v>8</v>
      </c>
      <c r="C256" s="12">
        <v>623</v>
      </c>
      <c r="D256" s="12">
        <v>1997</v>
      </c>
      <c r="E256" s="13" t="s">
        <v>68</v>
      </c>
      <c r="F256" s="13" t="s">
        <v>10</v>
      </c>
      <c r="G256" s="15">
        <v>44586</v>
      </c>
      <c r="H256" s="12">
        <v>108</v>
      </c>
      <c r="I256" t="str">
        <v>Manawatū-Whanganui</v>
      </c>
      <c r="J256" t="str">
        <v>New Zealand</v>
      </c>
      <c r="K256" t="str">
        <v>Trailer</v>
      </c>
      <c r="L256" t="str">
        <v>Standard</v>
      </c>
      <c r="P256">
        <f t="shared" si="3"/>
        <v>2</v>
      </c>
    </row>
    <row r="257" spans="1:16" ht="14.5" x14ac:dyDescent="0.35">
      <c r="A257" s="12">
        <v>256</v>
      </c>
      <c r="B257" s="13" t="s">
        <v>11</v>
      </c>
      <c r="C257" s="12">
        <v>623</v>
      </c>
      <c r="D257" s="12">
        <v>2001</v>
      </c>
      <c r="E257" s="13" t="s">
        <v>36</v>
      </c>
      <c r="F257" s="13" t="s">
        <v>10</v>
      </c>
      <c r="G257" s="15">
        <v>44586</v>
      </c>
      <c r="H257" s="12">
        <v>101</v>
      </c>
      <c r="I257" t="str">
        <v>Northland</v>
      </c>
      <c r="J257" t="str">
        <v>New Zealand</v>
      </c>
      <c r="K257" t="str">
        <v>Trailer</v>
      </c>
      <c r="L257" t="str">
        <v>Standard</v>
      </c>
      <c r="P257">
        <f t="shared" si="3"/>
        <v>2</v>
      </c>
    </row>
    <row r="258" spans="1:16" ht="14.5" x14ac:dyDescent="0.35">
      <c r="A258" s="12">
        <v>257</v>
      </c>
      <c r="B258" s="13" t="s">
        <v>8</v>
      </c>
      <c r="C258" s="12">
        <v>623</v>
      </c>
      <c r="D258" s="12">
        <v>2017</v>
      </c>
      <c r="E258" s="13" t="s">
        <v>192</v>
      </c>
      <c r="F258" s="13" t="s">
        <v>10</v>
      </c>
      <c r="G258" s="15">
        <v>44587</v>
      </c>
      <c r="H258" s="12">
        <v>108</v>
      </c>
      <c r="I258" t="str">
        <v>Manawatū-Whanganui</v>
      </c>
      <c r="J258" t="str">
        <v>New Zealand</v>
      </c>
      <c r="K258" t="str">
        <v>Trailer</v>
      </c>
      <c r="L258" t="str">
        <v>Standard</v>
      </c>
      <c r="P258">
        <f t="shared" si="3"/>
        <v>1</v>
      </c>
    </row>
    <row r="259" spans="1:16" ht="14.5" x14ac:dyDescent="0.35">
      <c r="A259" s="12">
        <v>258</v>
      </c>
      <c r="B259" s="13" t="s">
        <v>8</v>
      </c>
      <c r="C259" s="12">
        <v>616</v>
      </c>
      <c r="D259" s="12">
        <v>2019</v>
      </c>
      <c r="E259" s="13" t="s">
        <v>33</v>
      </c>
      <c r="F259" s="13" t="s">
        <v>10</v>
      </c>
      <c r="G259" s="15">
        <v>44588</v>
      </c>
      <c r="H259" s="12">
        <v>109</v>
      </c>
      <c r="I259" t="str">
        <v>Wellington</v>
      </c>
      <c r="J259" t="str">
        <v>New Zealand</v>
      </c>
      <c r="K259" t="str">
        <v>Titan</v>
      </c>
      <c r="L259" t="str">
        <v>Standard</v>
      </c>
      <c r="P259">
        <f t="shared" ref="P259:P322" si="4">COUNTIFS($G$2:$G$501,G259,$K$2:$K$501,K259)</f>
        <v>1</v>
      </c>
    </row>
    <row r="260" spans="1:16" ht="14.5" x14ac:dyDescent="0.35">
      <c r="A260" s="12">
        <v>259</v>
      </c>
      <c r="B260" s="13" t="s">
        <v>11</v>
      </c>
      <c r="C260" s="12">
        <v>549</v>
      </c>
      <c r="D260" s="12">
        <v>2019</v>
      </c>
      <c r="E260" s="13" t="s">
        <v>79</v>
      </c>
      <c r="F260" s="13" t="s">
        <v>10</v>
      </c>
      <c r="G260" s="15">
        <v>44588</v>
      </c>
      <c r="H260" s="12">
        <v>102</v>
      </c>
      <c r="I260" t="str">
        <v>Auckland</v>
      </c>
      <c r="J260" t="str">
        <v>New Zealand</v>
      </c>
      <c r="K260" t="str">
        <v>Homebuilt</v>
      </c>
      <c r="L260" t="str">
        <v>Standard</v>
      </c>
      <c r="P260">
        <f t="shared" si="4"/>
        <v>1</v>
      </c>
    </row>
    <row r="261" spans="1:16" ht="14.5" x14ac:dyDescent="0.35">
      <c r="A261" s="12">
        <v>260</v>
      </c>
      <c r="B261" s="13" t="s">
        <v>16</v>
      </c>
      <c r="C261" s="12">
        <v>636</v>
      </c>
      <c r="D261" s="12">
        <v>2005</v>
      </c>
      <c r="E261" s="13" t="s">
        <v>17</v>
      </c>
      <c r="F261" s="13" t="s">
        <v>45</v>
      </c>
      <c r="G261" s="15">
        <v>44589</v>
      </c>
      <c r="H261" s="12">
        <v>102</v>
      </c>
      <c r="I261" t="str">
        <v>Auckland</v>
      </c>
      <c r="J261" t="str">
        <v>New Zealand</v>
      </c>
      <c r="K261" t="str">
        <v>Yamaha</v>
      </c>
      <c r="L261" t="str">
        <v>Standard</v>
      </c>
      <c r="P261">
        <f t="shared" si="4"/>
        <v>1</v>
      </c>
    </row>
    <row r="262" spans="1:16" ht="14.5" x14ac:dyDescent="0.35">
      <c r="A262" s="12">
        <v>261</v>
      </c>
      <c r="B262" s="13" t="s">
        <v>8</v>
      </c>
      <c r="C262" s="12">
        <v>538</v>
      </c>
      <c r="D262" s="12">
        <v>2019</v>
      </c>
      <c r="E262" s="13" t="s">
        <v>193</v>
      </c>
      <c r="F262" s="13" t="s">
        <v>10</v>
      </c>
      <c r="G262" s="15">
        <v>44589</v>
      </c>
      <c r="H262" s="12">
        <v>109</v>
      </c>
      <c r="I262" t="str">
        <v>Wellington</v>
      </c>
      <c r="J262" t="str">
        <v>New Zealand</v>
      </c>
      <c r="K262" t="str">
        <v>Factory Built</v>
      </c>
      <c r="L262" t="str">
        <v>Standard</v>
      </c>
      <c r="P262">
        <f t="shared" si="4"/>
        <v>1</v>
      </c>
    </row>
    <row r="263" spans="1:16" ht="14.5" x14ac:dyDescent="0.35">
      <c r="A263" s="12">
        <v>262</v>
      </c>
      <c r="B263" s="13" t="s">
        <v>8</v>
      </c>
      <c r="C263" s="12">
        <v>623</v>
      </c>
      <c r="D263" s="12">
        <v>2016</v>
      </c>
      <c r="E263" s="13" t="s">
        <v>92</v>
      </c>
      <c r="F263" s="13" t="s">
        <v>10</v>
      </c>
      <c r="G263" s="15">
        <v>44589</v>
      </c>
      <c r="H263" s="12">
        <v>114</v>
      </c>
      <c r="I263" t="str">
        <v>Canterbury</v>
      </c>
      <c r="J263" t="str">
        <v>New Zealand</v>
      </c>
      <c r="K263" t="str">
        <v>Trailer</v>
      </c>
      <c r="L263" t="str">
        <v>Standard</v>
      </c>
      <c r="P263">
        <f t="shared" si="4"/>
        <v>3</v>
      </c>
    </row>
    <row r="264" spans="1:16" ht="14.5" x14ac:dyDescent="0.35">
      <c r="A264" s="12">
        <v>263</v>
      </c>
      <c r="B264" s="13" t="s">
        <v>8</v>
      </c>
      <c r="C264" s="12">
        <v>623</v>
      </c>
      <c r="D264" s="12">
        <v>2016</v>
      </c>
      <c r="E264" s="13" t="s">
        <v>194</v>
      </c>
      <c r="F264" s="13" t="s">
        <v>10</v>
      </c>
      <c r="G264" s="15">
        <v>44589</v>
      </c>
      <c r="H264" s="12">
        <v>102</v>
      </c>
      <c r="I264" t="str">
        <v>Auckland</v>
      </c>
      <c r="J264" t="str">
        <v>New Zealand</v>
      </c>
      <c r="K264" t="str">
        <v>Trailer</v>
      </c>
      <c r="L264" t="str">
        <v>Standard</v>
      </c>
      <c r="P264">
        <f t="shared" si="4"/>
        <v>3</v>
      </c>
    </row>
    <row r="265" spans="1:16" ht="14.5" x14ac:dyDescent="0.35">
      <c r="A265" s="12">
        <v>264</v>
      </c>
      <c r="B265" s="13" t="s">
        <v>37</v>
      </c>
      <c r="C265" s="12">
        <v>623</v>
      </c>
      <c r="D265" s="12">
        <v>2016</v>
      </c>
      <c r="E265" s="13" t="s">
        <v>195</v>
      </c>
      <c r="F265" s="13" t="s">
        <v>10</v>
      </c>
      <c r="G265" s="15">
        <v>44589</v>
      </c>
      <c r="H265" s="12">
        <v>114</v>
      </c>
      <c r="I265" t="str">
        <v>Canterbury</v>
      </c>
      <c r="J265" t="str">
        <v>New Zealand</v>
      </c>
      <c r="K265" t="str">
        <v>Trailer</v>
      </c>
      <c r="L265" t="str">
        <v>Standard</v>
      </c>
      <c r="P265">
        <f t="shared" si="4"/>
        <v>3</v>
      </c>
    </row>
    <row r="266" spans="1:16" ht="14.5" x14ac:dyDescent="0.35">
      <c r="A266" s="12">
        <v>265</v>
      </c>
      <c r="B266" s="13" t="s">
        <v>61</v>
      </c>
      <c r="C266" s="12">
        <v>630</v>
      </c>
      <c r="D266" s="12">
        <v>2016</v>
      </c>
      <c r="E266" s="12">
        <v>710</v>
      </c>
      <c r="F266" s="13" t="s">
        <v>32</v>
      </c>
      <c r="G266" s="15">
        <v>44589</v>
      </c>
      <c r="H266" s="12">
        <v>103</v>
      </c>
      <c r="I266" t="str">
        <v>Waikato</v>
      </c>
      <c r="J266" t="str">
        <v>New Zealand</v>
      </c>
      <c r="K266" t="str">
        <v>Veteran</v>
      </c>
      <c r="L266" t="str">
        <v>Standard</v>
      </c>
      <c r="P266">
        <f t="shared" si="4"/>
        <v>1</v>
      </c>
    </row>
    <row r="267" spans="1:16" ht="14.5" x14ac:dyDescent="0.35">
      <c r="A267" s="12">
        <v>266</v>
      </c>
      <c r="B267" s="13" t="s">
        <v>8</v>
      </c>
      <c r="C267" s="12">
        <v>616</v>
      </c>
      <c r="D267" s="12">
        <v>2016</v>
      </c>
      <c r="E267" s="13" t="s">
        <v>196</v>
      </c>
      <c r="F267" s="13" t="s">
        <v>10</v>
      </c>
      <c r="G267" s="15">
        <v>44589</v>
      </c>
      <c r="H267" s="12">
        <v>102</v>
      </c>
      <c r="I267" t="str">
        <v>Auckland</v>
      </c>
      <c r="J267" t="str">
        <v>New Zealand</v>
      </c>
      <c r="K267" t="str">
        <v>Titan</v>
      </c>
      <c r="L267" t="str">
        <v>Standard</v>
      </c>
      <c r="P267">
        <f t="shared" si="4"/>
        <v>1</v>
      </c>
    </row>
    <row r="268" spans="1:16" ht="14.5" x14ac:dyDescent="0.35">
      <c r="A268" s="12">
        <v>267</v>
      </c>
      <c r="B268" s="13" t="s">
        <v>8</v>
      </c>
      <c r="C268" s="12">
        <v>549</v>
      </c>
      <c r="D268" s="12">
        <v>2016</v>
      </c>
      <c r="E268" s="13" t="s">
        <v>197</v>
      </c>
      <c r="F268" s="13" t="s">
        <v>10</v>
      </c>
      <c r="G268" s="15">
        <v>44590</v>
      </c>
      <c r="H268" s="12">
        <v>114</v>
      </c>
      <c r="I268" t="str">
        <v>Canterbury</v>
      </c>
      <c r="J268" t="str">
        <v>New Zealand</v>
      </c>
      <c r="K268" t="str">
        <v>Homebuilt</v>
      </c>
      <c r="L268" t="str">
        <v>Standard</v>
      </c>
      <c r="P268">
        <f t="shared" si="4"/>
        <v>2</v>
      </c>
    </row>
    <row r="269" spans="1:16" ht="14.5" x14ac:dyDescent="0.35">
      <c r="A269" s="12">
        <v>268</v>
      </c>
      <c r="B269" s="13" t="s">
        <v>8</v>
      </c>
      <c r="C269" s="12">
        <v>549</v>
      </c>
      <c r="D269" s="12">
        <v>2004</v>
      </c>
      <c r="E269" s="13" t="s">
        <v>46</v>
      </c>
      <c r="F269" s="13" t="s">
        <v>28</v>
      </c>
      <c r="G269" s="15">
        <v>44590</v>
      </c>
      <c r="H269" s="12">
        <v>114</v>
      </c>
      <c r="I269" t="str">
        <v>Canterbury</v>
      </c>
      <c r="J269" t="str">
        <v>New Zealand</v>
      </c>
      <c r="K269" t="str">
        <v>Homebuilt</v>
      </c>
      <c r="L269" t="str">
        <v>Standard</v>
      </c>
      <c r="P269">
        <f t="shared" si="4"/>
        <v>2</v>
      </c>
    </row>
    <row r="270" spans="1:16" ht="14.5" x14ac:dyDescent="0.35">
      <c r="A270" s="12">
        <v>269</v>
      </c>
      <c r="B270" s="13" t="s">
        <v>8</v>
      </c>
      <c r="C270" s="12">
        <v>623</v>
      </c>
      <c r="D270" s="12">
        <v>2016</v>
      </c>
      <c r="E270" s="13" t="s">
        <v>198</v>
      </c>
      <c r="F270" s="13" t="s">
        <v>10</v>
      </c>
      <c r="G270" s="15">
        <v>44590</v>
      </c>
      <c r="H270" s="12">
        <v>103</v>
      </c>
      <c r="I270" t="str">
        <v>Waikato</v>
      </c>
      <c r="J270" t="str">
        <v>New Zealand</v>
      </c>
      <c r="K270" t="str">
        <v>Trailer</v>
      </c>
      <c r="L270" t="str">
        <v>Standard</v>
      </c>
      <c r="P270">
        <f t="shared" si="4"/>
        <v>1</v>
      </c>
    </row>
    <row r="271" spans="1:16" ht="14.5" x14ac:dyDescent="0.35">
      <c r="A271" s="12">
        <v>270</v>
      </c>
      <c r="B271" s="13" t="s">
        <v>37</v>
      </c>
      <c r="C271" s="12">
        <v>514</v>
      </c>
      <c r="D271" s="12">
        <v>2016</v>
      </c>
      <c r="E271" s="13" t="s">
        <v>46</v>
      </c>
      <c r="F271" s="13" t="s">
        <v>10</v>
      </c>
      <c r="G271" s="15">
        <v>44590</v>
      </c>
      <c r="H271" s="12">
        <v>102</v>
      </c>
      <c r="I271" t="str">
        <v>Auckland</v>
      </c>
      <c r="J271" t="str">
        <v>New Zealand</v>
      </c>
      <c r="K271" t="str">
        <v>Briford</v>
      </c>
      <c r="L271" t="str">
        <v>Standard</v>
      </c>
      <c r="P271">
        <f t="shared" si="4"/>
        <v>2</v>
      </c>
    </row>
    <row r="272" spans="1:16" ht="14.5" x14ac:dyDescent="0.35">
      <c r="A272" s="12">
        <v>271</v>
      </c>
      <c r="B272" s="13" t="s">
        <v>8</v>
      </c>
      <c r="C272" s="12">
        <v>514</v>
      </c>
      <c r="D272" s="12">
        <v>2016</v>
      </c>
      <c r="E272" s="13" t="s">
        <v>46</v>
      </c>
      <c r="F272" s="13" t="s">
        <v>10</v>
      </c>
      <c r="G272" s="15">
        <v>44590</v>
      </c>
      <c r="H272" s="12">
        <v>114</v>
      </c>
      <c r="I272" t="str">
        <v>Canterbury</v>
      </c>
      <c r="J272" t="str">
        <v>New Zealand</v>
      </c>
      <c r="K272" t="str">
        <v>Briford</v>
      </c>
      <c r="L272" t="str">
        <v>Standard</v>
      </c>
      <c r="P272">
        <f t="shared" si="4"/>
        <v>2</v>
      </c>
    </row>
    <row r="273" spans="1:16" ht="14.5" x14ac:dyDescent="0.35">
      <c r="A273" s="12">
        <v>272</v>
      </c>
      <c r="B273" s="13" t="s">
        <v>37</v>
      </c>
      <c r="C273" s="12">
        <v>623</v>
      </c>
      <c r="D273" s="12">
        <v>2016</v>
      </c>
      <c r="E273" s="13" t="s">
        <v>195</v>
      </c>
      <c r="F273" s="13" t="s">
        <v>10</v>
      </c>
      <c r="G273" s="15">
        <v>44591</v>
      </c>
      <c r="H273" s="12">
        <v>102</v>
      </c>
      <c r="I273" t="str">
        <v>Auckland</v>
      </c>
      <c r="J273" t="str">
        <v>New Zealand</v>
      </c>
      <c r="K273" t="str">
        <v>Trailer</v>
      </c>
      <c r="L273" t="str">
        <v>Standard</v>
      </c>
      <c r="P273">
        <f t="shared" si="4"/>
        <v>1</v>
      </c>
    </row>
    <row r="274" spans="1:16" ht="14.5" x14ac:dyDescent="0.35">
      <c r="A274" s="12">
        <v>273</v>
      </c>
      <c r="B274" s="13" t="s">
        <v>8</v>
      </c>
      <c r="C274" s="12">
        <v>549</v>
      </c>
      <c r="D274" s="12">
        <v>1960</v>
      </c>
      <c r="E274" s="13" t="s">
        <v>46</v>
      </c>
      <c r="F274" s="13" t="s">
        <v>32</v>
      </c>
      <c r="G274" s="15">
        <v>44592</v>
      </c>
      <c r="H274" s="12">
        <v>114</v>
      </c>
      <c r="I274" t="str">
        <v>Canterbury</v>
      </c>
      <c r="J274" t="str">
        <v>New Zealand</v>
      </c>
      <c r="K274" t="str">
        <v>Homebuilt</v>
      </c>
      <c r="L274" t="str">
        <v>Standard</v>
      </c>
      <c r="P274">
        <f t="shared" si="4"/>
        <v>1</v>
      </c>
    </row>
    <row r="275" spans="1:16" ht="14.5" x14ac:dyDescent="0.35">
      <c r="A275" s="12">
        <v>274</v>
      </c>
      <c r="B275" s="13" t="s">
        <v>37</v>
      </c>
      <c r="C275" s="12">
        <v>623</v>
      </c>
      <c r="D275" s="12">
        <v>2013</v>
      </c>
      <c r="E275" s="13" t="s">
        <v>199</v>
      </c>
      <c r="F275" s="13" t="s">
        <v>45</v>
      </c>
      <c r="G275" s="15">
        <v>44592</v>
      </c>
      <c r="H275" s="12">
        <v>102</v>
      </c>
      <c r="I275" t="str">
        <v>Auckland</v>
      </c>
      <c r="J275" t="str">
        <v>New Zealand</v>
      </c>
      <c r="K275" t="str">
        <v>Trailer</v>
      </c>
      <c r="L275" t="str">
        <v>Standard</v>
      </c>
      <c r="P275">
        <f t="shared" si="4"/>
        <v>1</v>
      </c>
    </row>
    <row r="276" spans="1:16" ht="14.5" x14ac:dyDescent="0.35">
      <c r="A276" s="12">
        <v>275</v>
      </c>
      <c r="B276" s="13" t="s">
        <v>37</v>
      </c>
      <c r="C276" s="12">
        <v>527</v>
      </c>
      <c r="D276" s="12">
        <v>2016</v>
      </c>
      <c r="E276" s="13" t="s">
        <v>200</v>
      </c>
      <c r="F276" s="13" t="s">
        <v>45</v>
      </c>
      <c r="G276" s="15">
        <v>44592</v>
      </c>
      <c r="H276" s="12">
        <v>102</v>
      </c>
      <c r="I276" t="str">
        <v>Auckland</v>
      </c>
      <c r="J276" t="str">
        <v>New Zealand</v>
      </c>
      <c r="K276" t="str">
        <v>Custombuilt</v>
      </c>
      <c r="L276" t="str">
        <v>Standard</v>
      </c>
      <c r="P276">
        <f t="shared" si="4"/>
        <v>1</v>
      </c>
    </row>
    <row r="277" spans="1:16" ht="14.5" x14ac:dyDescent="0.35">
      <c r="A277" s="12">
        <v>276</v>
      </c>
      <c r="B277" s="13" t="s">
        <v>8</v>
      </c>
      <c r="C277" s="12">
        <v>623</v>
      </c>
      <c r="D277" s="12">
        <v>2016</v>
      </c>
      <c r="E277" s="13" t="s">
        <v>201</v>
      </c>
      <c r="F277" s="13" t="s">
        <v>10</v>
      </c>
      <c r="G277" s="14">
        <v>44593</v>
      </c>
      <c r="H277" s="12">
        <v>103</v>
      </c>
      <c r="I277" t="str">
        <v>Waikato</v>
      </c>
      <c r="J277" t="str">
        <v>New Zealand</v>
      </c>
      <c r="K277" t="str">
        <v>Trailer</v>
      </c>
      <c r="L277" t="str">
        <v>Standard</v>
      </c>
      <c r="P277">
        <f t="shared" si="4"/>
        <v>1</v>
      </c>
    </row>
    <row r="278" spans="1:16" ht="14.5" x14ac:dyDescent="0.35">
      <c r="A278" s="12">
        <v>277</v>
      </c>
      <c r="B278" s="13" t="s">
        <v>37</v>
      </c>
      <c r="C278" s="12">
        <v>514</v>
      </c>
      <c r="D278" s="12">
        <v>2016</v>
      </c>
      <c r="E278" s="13" t="s">
        <v>46</v>
      </c>
      <c r="F278" s="13" t="s">
        <v>10</v>
      </c>
      <c r="G278" s="14">
        <v>44593</v>
      </c>
      <c r="H278" s="12">
        <v>102</v>
      </c>
      <c r="I278" t="str">
        <v>Auckland</v>
      </c>
      <c r="J278" t="str">
        <v>New Zealand</v>
      </c>
      <c r="K278" t="str">
        <v>Briford</v>
      </c>
      <c r="L278" t="str">
        <v>Standard</v>
      </c>
      <c r="P278">
        <f t="shared" si="4"/>
        <v>1</v>
      </c>
    </row>
    <row r="279" spans="1:16" ht="14.5" x14ac:dyDescent="0.35">
      <c r="A279" s="12">
        <v>278</v>
      </c>
      <c r="B279" s="13" t="s">
        <v>8</v>
      </c>
      <c r="C279" s="12">
        <v>623</v>
      </c>
      <c r="D279" s="12">
        <v>2016</v>
      </c>
      <c r="E279" s="13" t="s">
        <v>202</v>
      </c>
      <c r="F279" s="13" t="s">
        <v>10</v>
      </c>
      <c r="G279" s="14">
        <v>44594</v>
      </c>
      <c r="H279" s="12">
        <v>102</v>
      </c>
      <c r="I279" t="str">
        <v>Auckland</v>
      </c>
      <c r="J279" t="str">
        <v>New Zealand</v>
      </c>
      <c r="K279" t="str">
        <v>Trailer</v>
      </c>
      <c r="L279" t="str">
        <v>Standard</v>
      </c>
      <c r="P279">
        <f t="shared" si="4"/>
        <v>1</v>
      </c>
    </row>
    <row r="280" spans="1:16" ht="14.5" x14ac:dyDescent="0.35">
      <c r="A280" s="12">
        <v>279</v>
      </c>
      <c r="B280" s="13" t="s">
        <v>8</v>
      </c>
      <c r="C280" s="12">
        <v>514</v>
      </c>
      <c r="D280" s="12">
        <v>2016</v>
      </c>
      <c r="E280" s="13" t="s">
        <v>203</v>
      </c>
      <c r="F280" s="13" t="s">
        <v>45</v>
      </c>
      <c r="G280" s="14">
        <v>44594</v>
      </c>
      <c r="H280" s="12">
        <v>102</v>
      </c>
      <c r="I280" t="str">
        <v>Auckland</v>
      </c>
      <c r="J280" t="str">
        <v>New Zealand</v>
      </c>
      <c r="K280" t="str">
        <v>Briford</v>
      </c>
      <c r="L280" t="str">
        <v>Standard</v>
      </c>
      <c r="P280">
        <f t="shared" si="4"/>
        <v>1</v>
      </c>
    </row>
    <row r="281" spans="1:16" ht="14.5" x14ac:dyDescent="0.35">
      <c r="A281" s="12">
        <v>280</v>
      </c>
      <c r="B281" s="13" t="s">
        <v>8</v>
      </c>
      <c r="C281" s="12">
        <v>623</v>
      </c>
      <c r="D281" s="12">
        <v>2016</v>
      </c>
      <c r="E281" s="13" t="s">
        <v>92</v>
      </c>
      <c r="F281" s="13" t="s">
        <v>10</v>
      </c>
      <c r="G281" s="14">
        <v>44595</v>
      </c>
      <c r="H281" s="12">
        <v>114</v>
      </c>
      <c r="I281" t="str">
        <v>Canterbury</v>
      </c>
      <c r="J281" t="str">
        <v>New Zealand</v>
      </c>
      <c r="K281" t="str">
        <v>Trailer</v>
      </c>
      <c r="L281" t="str">
        <v>Standard</v>
      </c>
      <c r="P281">
        <f t="shared" si="4"/>
        <v>2</v>
      </c>
    </row>
    <row r="282" spans="1:16" ht="14.5" x14ac:dyDescent="0.35">
      <c r="A282" s="12">
        <v>281</v>
      </c>
      <c r="B282" s="13" t="s">
        <v>83</v>
      </c>
      <c r="C282" s="12">
        <v>576</v>
      </c>
      <c r="D282" s="12">
        <v>1993</v>
      </c>
      <c r="E282" s="13" t="s">
        <v>204</v>
      </c>
      <c r="F282" s="13" t="s">
        <v>28</v>
      </c>
      <c r="G282" s="14">
        <v>44595</v>
      </c>
      <c r="H282" s="12">
        <v>103</v>
      </c>
      <c r="I282" t="str">
        <v>Waikato</v>
      </c>
      <c r="J282" t="str">
        <v>New Zealand</v>
      </c>
      <c r="K282" t="str">
        <v>Mazda</v>
      </c>
      <c r="L282" t="str">
        <v>Standard</v>
      </c>
      <c r="P282">
        <f t="shared" si="4"/>
        <v>1</v>
      </c>
    </row>
    <row r="283" spans="1:16" ht="14.5" x14ac:dyDescent="0.35">
      <c r="A283" s="12">
        <v>282</v>
      </c>
      <c r="B283" s="13" t="s">
        <v>8</v>
      </c>
      <c r="C283" s="12">
        <v>623</v>
      </c>
      <c r="D283" s="12">
        <v>2016</v>
      </c>
      <c r="E283" s="13" t="s">
        <v>100</v>
      </c>
      <c r="F283" s="13" t="s">
        <v>10</v>
      </c>
      <c r="G283" s="14">
        <v>44595</v>
      </c>
      <c r="H283" s="12">
        <v>102</v>
      </c>
      <c r="I283" t="str">
        <v>Auckland</v>
      </c>
      <c r="J283" t="str">
        <v>New Zealand</v>
      </c>
      <c r="K283" t="str">
        <v>Trailer</v>
      </c>
      <c r="L283" t="str">
        <v>Standard</v>
      </c>
      <c r="P283">
        <f t="shared" si="4"/>
        <v>2</v>
      </c>
    </row>
    <row r="284" spans="1:16" ht="14.5" x14ac:dyDescent="0.35">
      <c r="A284" s="12">
        <v>283</v>
      </c>
      <c r="B284" s="13" t="s">
        <v>37</v>
      </c>
      <c r="C284" s="12">
        <v>514</v>
      </c>
      <c r="D284" s="12">
        <v>2016</v>
      </c>
      <c r="E284" s="13" t="s">
        <v>46</v>
      </c>
      <c r="F284" s="13" t="s">
        <v>10</v>
      </c>
      <c r="G284" s="14">
        <v>44595</v>
      </c>
      <c r="H284" s="12">
        <v>102</v>
      </c>
      <c r="I284" t="str">
        <v>Auckland</v>
      </c>
      <c r="J284" t="str">
        <v>New Zealand</v>
      </c>
      <c r="K284" t="str">
        <v>Briford</v>
      </c>
      <c r="L284" t="str">
        <v>Standard</v>
      </c>
      <c r="P284">
        <f t="shared" si="4"/>
        <v>2</v>
      </c>
    </row>
    <row r="285" spans="1:16" ht="14.5" x14ac:dyDescent="0.35">
      <c r="A285" s="12">
        <v>284</v>
      </c>
      <c r="B285" s="13" t="s">
        <v>37</v>
      </c>
      <c r="C285" s="12">
        <v>514</v>
      </c>
      <c r="D285" s="12">
        <v>2016</v>
      </c>
      <c r="E285" s="13" t="s">
        <v>136</v>
      </c>
      <c r="F285" s="13" t="s">
        <v>10</v>
      </c>
      <c r="G285" s="14">
        <v>44595</v>
      </c>
      <c r="H285" s="12">
        <v>104</v>
      </c>
      <c r="I285" t="str">
        <v>Bay of Plenty</v>
      </c>
      <c r="J285" t="str">
        <v>New Zealand</v>
      </c>
      <c r="K285" t="str">
        <v>Briford</v>
      </c>
      <c r="L285" t="str">
        <v>Standard</v>
      </c>
      <c r="P285">
        <f t="shared" si="4"/>
        <v>2</v>
      </c>
    </row>
    <row r="286" spans="1:16" ht="14.5" x14ac:dyDescent="0.35">
      <c r="A286" s="12">
        <v>285</v>
      </c>
      <c r="B286" s="13" t="s">
        <v>37</v>
      </c>
      <c r="C286" s="12">
        <v>514</v>
      </c>
      <c r="D286" s="12">
        <v>2016</v>
      </c>
      <c r="E286" s="13" t="s">
        <v>136</v>
      </c>
      <c r="F286" s="13" t="s">
        <v>10</v>
      </c>
      <c r="G286" s="14">
        <v>44596</v>
      </c>
      <c r="H286" s="12">
        <v>103</v>
      </c>
      <c r="I286" t="str">
        <v>Waikato</v>
      </c>
      <c r="J286" t="str">
        <v>New Zealand</v>
      </c>
      <c r="K286" t="str">
        <v>Briford</v>
      </c>
      <c r="L286" t="str">
        <v>Standard</v>
      </c>
      <c r="P286">
        <f t="shared" si="4"/>
        <v>1</v>
      </c>
    </row>
    <row r="287" spans="1:16" ht="14.5" x14ac:dyDescent="0.35">
      <c r="A287" s="12">
        <v>286</v>
      </c>
      <c r="B287" s="13" t="s">
        <v>11</v>
      </c>
      <c r="C287" s="12">
        <v>623</v>
      </c>
      <c r="D287" s="12">
        <v>2016</v>
      </c>
      <c r="E287" s="13" t="s">
        <v>205</v>
      </c>
      <c r="F287" s="13" t="s">
        <v>10</v>
      </c>
      <c r="G287" s="14">
        <v>44596</v>
      </c>
      <c r="H287" s="12">
        <v>102</v>
      </c>
      <c r="I287" t="str">
        <v>Auckland</v>
      </c>
      <c r="J287" t="str">
        <v>New Zealand</v>
      </c>
      <c r="K287" t="str">
        <v>Trailer</v>
      </c>
      <c r="L287" t="str">
        <v>Standard</v>
      </c>
      <c r="P287">
        <f t="shared" si="4"/>
        <v>4</v>
      </c>
    </row>
    <row r="288" spans="1:16" ht="14.5" x14ac:dyDescent="0.35">
      <c r="A288" s="12">
        <v>287</v>
      </c>
      <c r="B288" s="13" t="s">
        <v>61</v>
      </c>
      <c r="C288" s="12">
        <v>519</v>
      </c>
      <c r="D288" s="12">
        <v>2007</v>
      </c>
      <c r="E288" s="13" t="s">
        <v>206</v>
      </c>
      <c r="F288" s="13" t="s">
        <v>32</v>
      </c>
      <c r="G288" s="14">
        <v>44596</v>
      </c>
      <c r="H288" s="12">
        <v>109</v>
      </c>
      <c r="I288" t="str">
        <v>Wellington</v>
      </c>
      <c r="J288" t="str">
        <v>New Zealand</v>
      </c>
      <c r="K288" t="str">
        <v>Caravan</v>
      </c>
      <c r="L288" t="str">
        <v>Standard</v>
      </c>
      <c r="P288">
        <f t="shared" si="4"/>
        <v>1</v>
      </c>
    </row>
    <row r="289" spans="1:16" ht="14.5" x14ac:dyDescent="0.35">
      <c r="A289" s="12">
        <v>288</v>
      </c>
      <c r="B289" s="13" t="s">
        <v>8</v>
      </c>
      <c r="C289" s="12">
        <v>623</v>
      </c>
      <c r="D289" s="12">
        <v>2016</v>
      </c>
      <c r="E289" s="13" t="s">
        <v>112</v>
      </c>
      <c r="F289" s="13" t="s">
        <v>10</v>
      </c>
      <c r="G289" s="14">
        <v>44596</v>
      </c>
      <c r="H289" s="12">
        <v>102</v>
      </c>
      <c r="I289" t="str">
        <v>Auckland</v>
      </c>
      <c r="J289" t="str">
        <v>New Zealand</v>
      </c>
      <c r="K289" t="str">
        <v>Trailer</v>
      </c>
      <c r="L289" t="str">
        <v>Standard</v>
      </c>
      <c r="P289">
        <f t="shared" si="4"/>
        <v>4</v>
      </c>
    </row>
    <row r="290" spans="1:16" ht="14.5" x14ac:dyDescent="0.35">
      <c r="A290" s="12">
        <v>289</v>
      </c>
      <c r="B290" s="13" t="s">
        <v>8</v>
      </c>
      <c r="C290" s="12">
        <v>623</v>
      </c>
      <c r="D290" s="12">
        <v>2016</v>
      </c>
      <c r="E290" s="13" t="s">
        <v>100</v>
      </c>
      <c r="F290" s="13" t="s">
        <v>10</v>
      </c>
      <c r="G290" s="14">
        <v>44596</v>
      </c>
      <c r="H290" s="12">
        <v>104</v>
      </c>
      <c r="I290" t="str">
        <v>Bay of Plenty</v>
      </c>
      <c r="J290" t="str">
        <v>New Zealand</v>
      </c>
      <c r="K290" t="str">
        <v>Trailer</v>
      </c>
      <c r="L290" t="str">
        <v>Standard</v>
      </c>
      <c r="P290">
        <f t="shared" si="4"/>
        <v>4</v>
      </c>
    </row>
    <row r="291" spans="1:16" ht="14.5" x14ac:dyDescent="0.35">
      <c r="A291" s="12">
        <v>290</v>
      </c>
      <c r="B291" s="13" t="s">
        <v>11</v>
      </c>
      <c r="C291" s="12">
        <v>527</v>
      </c>
      <c r="D291" s="12">
        <v>2016</v>
      </c>
      <c r="E291" s="12">
        <v>4</v>
      </c>
      <c r="F291" s="13" t="s">
        <v>45</v>
      </c>
      <c r="G291" s="14">
        <v>44596</v>
      </c>
      <c r="H291" s="12">
        <v>114</v>
      </c>
      <c r="I291" t="str">
        <v>Canterbury</v>
      </c>
      <c r="J291" t="str">
        <v>New Zealand</v>
      </c>
      <c r="K291" t="str">
        <v>Custombuilt</v>
      </c>
      <c r="L291" t="str">
        <v>Standard</v>
      </c>
      <c r="P291">
        <f t="shared" si="4"/>
        <v>1</v>
      </c>
    </row>
    <row r="292" spans="1:16" ht="14.5" x14ac:dyDescent="0.35">
      <c r="A292" s="12">
        <v>291</v>
      </c>
      <c r="B292" s="13" t="s">
        <v>37</v>
      </c>
      <c r="C292" s="12">
        <v>623</v>
      </c>
      <c r="D292" s="12">
        <v>2010</v>
      </c>
      <c r="E292" s="13" t="s">
        <v>207</v>
      </c>
      <c r="F292" s="13" t="s">
        <v>28</v>
      </c>
      <c r="G292" s="14">
        <v>44596</v>
      </c>
      <c r="H292" s="12">
        <v>114</v>
      </c>
      <c r="I292" t="str">
        <v>Canterbury</v>
      </c>
      <c r="J292" t="str">
        <v>New Zealand</v>
      </c>
      <c r="K292" t="str">
        <v>Trailer</v>
      </c>
      <c r="L292" t="str">
        <v>Standard</v>
      </c>
      <c r="P292">
        <f t="shared" si="4"/>
        <v>4</v>
      </c>
    </row>
    <row r="293" spans="1:16" ht="14.5" x14ac:dyDescent="0.35">
      <c r="A293" s="12">
        <v>292</v>
      </c>
      <c r="B293" s="13" t="s">
        <v>8</v>
      </c>
      <c r="C293" s="12">
        <v>514</v>
      </c>
      <c r="D293" s="12">
        <v>2016</v>
      </c>
      <c r="E293" s="13" t="s">
        <v>132</v>
      </c>
      <c r="F293" s="13" t="s">
        <v>10</v>
      </c>
      <c r="G293" s="15">
        <v>44605</v>
      </c>
      <c r="H293" s="12">
        <v>102</v>
      </c>
      <c r="I293" t="str">
        <v>Auckland</v>
      </c>
      <c r="J293" t="str">
        <v>New Zealand</v>
      </c>
      <c r="K293" t="str">
        <v>Briford</v>
      </c>
      <c r="L293" t="str">
        <v>Standard</v>
      </c>
      <c r="P293">
        <f t="shared" si="4"/>
        <v>2</v>
      </c>
    </row>
    <row r="294" spans="1:16" ht="14.5" x14ac:dyDescent="0.35">
      <c r="A294" s="12">
        <v>293</v>
      </c>
      <c r="B294" s="13" t="s">
        <v>16</v>
      </c>
      <c r="C294" s="12">
        <v>611</v>
      </c>
      <c r="D294" s="12">
        <v>2005</v>
      </c>
      <c r="E294" s="13" t="s">
        <v>208</v>
      </c>
      <c r="F294" s="13" t="s">
        <v>28</v>
      </c>
      <c r="G294" s="15">
        <v>44605</v>
      </c>
      <c r="H294" s="12">
        <v>102</v>
      </c>
      <c r="I294" t="str">
        <v>Auckland</v>
      </c>
      <c r="J294" t="str">
        <v>New Zealand</v>
      </c>
      <c r="K294" t="str">
        <v>Suzuki</v>
      </c>
      <c r="L294" t="str">
        <v>Standard</v>
      </c>
      <c r="P294">
        <f t="shared" si="4"/>
        <v>1</v>
      </c>
    </row>
    <row r="295" spans="1:16" ht="14.5" x14ac:dyDescent="0.35">
      <c r="A295" s="12">
        <v>294</v>
      </c>
      <c r="B295" s="13" t="s">
        <v>8</v>
      </c>
      <c r="C295" s="12">
        <v>514</v>
      </c>
      <c r="D295" s="12">
        <v>2019</v>
      </c>
      <c r="E295" s="13" t="s">
        <v>209</v>
      </c>
      <c r="F295" s="13" t="s">
        <v>10</v>
      </c>
      <c r="G295" s="15">
        <v>44605</v>
      </c>
      <c r="H295" s="12">
        <v>114</v>
      </c>
      <c r="I295" t="str">
        <v>Canterbury</v>
      </c>
      <c r="J295" t="str">
        <v>New Zealand</v>
      </c>
      <c r="K295" t="str">
        <v>Briford</v>
      </c>
      <c r="L295" t="str">
        <v>Standard</v>
      </c>
      <c r="P295">
        <f t="shared" si="4"/>
        <v>2</v>
      </c>
    </row>
    <row r="296" spans="1:16" ht="14.5" x14ac:dyDescent="0.35">
      <c r="A296" s="12">
        <v>295</v>
      </c>
      <c r="B296" s="13" t="s">
        <v>11</v>
      </c>
      <c r="C296" s="12">
        <v>635</v>
      </c>
      <c r="D296" s="12">
        <v>1998</v>
      </c>
      <c r="E296" s="13" t="s">
        <v>210</v>
      </c>
      <c r="F296" s="13" t="s">
        <v>10</v>
      </c>
      <c r="G296" s="15">
        <v>44606</v>
      </c>
      <c r="H296" s="12">
        <v>104</v>
      </c>
      <c r="I296" t="str">
        <v>Bay of Plenty</v>
      </c>
      <c r="J296" t="str">
        <v>New Zealand</v>
      </c>
      <c r="K296" t="str">
        <v>Voyager</v>
      </c>
      <c r="L296" t="str">
        <v>Standard</v>
      </c>
      <c r="P296">
        <f t="shared" si="4"/>
        <v>1</v>
      </c>
    </row>
    <row r="297" spans="1:16" ht="14.5" x14ac:dyDescent="0.35">
      <c r="A297" s="12">
        <v>296</v>
      </c>
      <c r="B297" s="13" t="s">
        <v>11</v>
      </c>
      <c r="C297" s="12">
        <v>623</v>
      </c>
      <c r="D297" s="12">
        <v>2000</v>
      </c>
      <c r="E297" s="13" t="s">
        <v>211</v>
      </c>
      <c r="F297" s="13" t="s">
        <v>10</v>
      </c>
      <c r="G297" s="15">
        <v>44606</v>
      </c>
      <c r="H297" s="12">
        <v>102</v>
      </c>
      <c r="I297" t="str">
        <v>Auckland</v>
      </c>
      <c r="J297" t="str">
        <v>New Zealand</v>
      </c>
      <c r="K297" t="str">
        <v>Trailer</v>
      </c>
      <c r="L297" t="str">
        <v>Standard</v>
      </c>
      <c r="P297">
        <f t="shared" si="4"/>
        <v>2</v>
      </c>
    </row>
    <row r="298" spans="1:16" ht="14.5" x14ac:dyDescent="0.35">
      <c r="A298" s="12">
        <v>297</v>
      </c>
      <c r="B298" s="13" t="s">
        <v>11</v>
      </c>
      <c r="C298" s="12">
        <v>623</v>
      </c>
      <c r="D298" s="12">
        <v>2019</v>
      </c>
      <c r="E298" s="13" t="s">
        <v>212</v>
      </c>
      <c r="F298" s="13" t="s">
        <v>45</v>
      </c>
      <c r="G298" s="15">
        <v>44606</v>
      </c>
      <c r="H298" s="12">
        <v>103</v>
      </c>
      <c r="I298" t="str">
        <v>Waikato</v>
      </c>
      <c r="J298" t="str">
        <v>New Zealand</v>
      </c>
      <c r="K298" t="str">
        <v>Trailer</v>
      </c>
      <c r="L298" t="str">
        <v>Standard</v>
      </c>
      <c r="P298">
        <f t="shared" si="4"/>
        <v>2</v>
      </c>
    </row>
    <row r="299" spans="1:16" ht="14.5" x14ac:dyDescent="0.35">
      <c r="A299" s="12">
        <v>298</v>
      </c>
      <c r="B299" s="13" t="s">
        <v>16</v>
      </c>
      <c r="C299" s="12">
        <v>505</v>
      </c>
      <c r="D299" s="12">
        <v>1998</v>
      </c>
      <c r="E299" s="13" t="s">
        <v>213</v>
      </c>
      <c r="F299" s="13" t="s">
        <v>69</v>
      </c>
      <c r="G299" s="15">
        <v>44606</v>
      </c>
      <c r="H299" s="12">
        <v>115</v>
      </c>
      <c r="I299" t="str">
        <v>Otago</v>
      </c>
      <c r="J299" t="str">
        <v>New Zealand</v>
      </c>
      <c r="K299" t="str">
        <v>Aprilia</v>
      </c>
      <c r="L299" t="str">
        <v>Standard</v>
      </c>
      <c r="P299">
        <f t="shared" si="4"/>
        <v>1</v>
      </c>
    </row>
    <row r="300" spans="1:16" ht="14.5" x14ac:dyDescent="0.35">
      <c r="A300" s="12">
        <v>299</v>
      </c>
      <c r="B300" s="13" t="s">
        <v>25</v>
      </c>
      <c r="C300" s="12">
        <v>636</v>
      </c>
      <c r="D300" s="12">
        <v>2007</v>
      </c>
      <c r="E300" s="13" t="s">
        <v>214</v>
      </c>
      <c r="F300" s="13" t="s">
        <v>28</v>
      </c>
      <c r="G300" s="15">
        <v>44607</v>
      </c>
      <c r="H300" s="12">
        <v>102</v>
      </c>
      <c r="I300" t="str">
        <v>Auckland</v>
      </c>
      <c r="J300" t="str">
        <v>New Zealand</v>
      </c>
      <c r="K300" t="str">
        <v>Yamaha</v>
      </c>
      <c r="L300" t="str">
        <v>Standard</v>
      </c>
      <c r="P300">
        <f t="shared" si="4"/>
        <v>1</v>
      </c>
    </row>
    <row r="301" spans="1:16" ht="14.5" x14ac:dyDescent="0.35">
      <c r="A301" s="12">
        <v>300</v>
      </c>
      <c r="B301" s="13" t="s">
        <v>8</v>
      </c>
      <c r="C301" s="12">
        <v>623</v>
      </c>
      <c r="D301" s="12">
        <v>2019</v>
      </c>
      <c r="E301" s="13" t="s">
        <v>215</v>
      </c>
      <c r="F301" s="13" t="s">
        <v>47</v>
      </c>
      <c r="G301" s="15">
        <v>44607</v>
      </c>
      <c r="H301" s="12">
        <v>103</v>
      </c>
      <c r="I301" t="str">
        <v>Waikato</v>
      </c>
      <c r="J301" t="str">
        <v>New Zealand</v>
      </c>
      <c r="K301" t="str">
        <v>Trailer</v>
      </c>
      <c r="L301" t="str">
        <v>Standard</v>
      </c>
      <c r="P301">
        <f t="shared" si="4"/>
        <v>1</v>
      </c>
    </row>
    <row r="302" spans="1:16" ht="14.5" x14ac:dyDescent="0.35">
      <c r="A302" s="12">
        <v>301</v>
      </c>
      <c r="B302" s="13" t="s">
        <v>16</v>
      </c>
      <c r="C302" s="12">
        <v>611</v>
      </c>
      <c r="D302" s="12">
        <v>2007</v>
      </c>
      <c r="E302" s="13" t="s">
        <v>216</v>
      </c>
      <c r="F302" s="13" t="s">
        <v>18</v>
      </c>
      <c r="G302" s="15">
        <v>44608</v>
      </c>
      <c r="H302" s="12">
        <v>101</v>
      </c>
      <c r="I302" t="str">
        <v>Northland</v>
      </c>
      <c r="J302" t="str">
        <v>New Zealand</v>
      </c>
      <c r="K302" t="str">
        <v>Suzuki</v>
      </c>
      <c r="L302" t="str">
        <v>Standard</v>
      </c>
      <c r="P302">
        <f t="shared" si="4"/>
        <v>2</v>
      </c>
    </row>
    <row r="303" spans="1:16" ht="14.5" x14ac:dyDescent="0.35">
      <c r="A303" s="12">
        <v>302</v>
      </c>
      <c r="B303" s="13" t="s">
        <v>8</v>
      </c>
      <c r="C303" s="12">
        <v>562</v>
      </c>
      <c r="D303" s="12">
        <v>2020</v>
      </c>
      <c r="E303" s="13" t="s">
        <v>217</v>
      </c>
      <c r="F303" s="13" t="s">
        <v>10</v>
      </c>
      <c r="G303" s="15">
        <v>44608</v>
      </c>
      <c r="H303" s="12">
        <v>102</v>
      </c>
      <c r="I303" t="str">
        <v>Auckland</v>
      </c>
      <c r="J303" t="str">
        <v>New Zealand</v>
      </c>
      <c r="K303" t="str">
        <v>Kea</v>
      </c>
      <c r="L303" t="str">
        <v>Standard</v>
      </c>
      <c r="P303">
        <f t="shared" si="4"/>
        <v>1</v>
      </c>
    </row>
    <row r="304" spans="1:16" ht="14.5" x14ac:dyDescent="0.35">
      <c r="A304" s="12">
        <v>303</v>
      </c>
      <c r="B304" s="13" t="s">
        <v>8</v>
      </c>
      <c r="C304" s="12">
        <v>514</v>
      </c>
      <c r="D304" s="12">
        <v>1985</v>
      </c>
      <c r="E304" s="13" t="s">
        <v>71</v>
      </c>
      <c r="F304" s="13" t="s">
        <v>45</v>
      </c>
      <c r="G304" s="15">
        <v>44608</v>
      </c>
      <c r="H304" s="12">
        <v>114</v>
      </c>
      <c r="I304" t="str">
        <v>Canterbury</v>
      </c>
      <c r="J304" t="str">
        <v>New Zealand</v>
      </c>
      <c r="K304" t="str">
        <v>Briford</v>
      </c>
      <c r="L304" t="str">
        <v>Standard</v>
      </c>
      <c r="P304">
        <f t="shared" si="4"/>
        <v>1</v>
      </c>
    </row>
    <row r="305" spans="1:16" ht="14.5" x14ac:dyDescent="0.35">
      <c r="A305" s="12">
        <v>304</v>
      </c>
      <c r="B305" s="13" t="s">
        <v>16</v>
      </c>
      <c r="C305" s="12">
        <v>611</v>
      </c>
      <c r="D305" s="12">
        <v>2008</v>
      </c>
      <c r="E305" s="13" t="s">
        <v>218</v>
      </c>
      <c r="F305" s="13" t="s">
        <v>123</v>
      </c>
      <c r="G305" s="15">
        <v>44608</v>
      </c>
      <c r="H305" s="12">
        <v>102</v>
      </c>
      <c r="I305" t="str">
        <v>Auckland</v>
      </c>
      <c r="J305" t="str">
        <v>New Zealand</v>
      </c>
      <c r="K305" t="str">
        <v>Suzuki</v>
      </c>
      <c r="L305" t="str">
        <v>Standard</v>
      </c>
      <c r="P305">
        <f t="shared" si="4"/>
        <v>2</v>
      </c>
    </row>
    <row r="306" spans="1:16" ht="14.5" x14ac:dyDescent="0.35">
      <c r="A306" s="12">
        <v>305</v>
      </c>
      <c r="B306" s="13" t="s">
        <v>11</v>
      </c>
      <c r="C306" s="12">
        <v>623</v>
      </c>
      <c r="D306" s="12">
        <v>2020</v>
      </c>
      <c r="E306" s="13" t="s">
        <v>219</v>
      </c>
      <c r="F306" s="13" t="s">
        <v>10</v>
      </c>
      <c r="G306" s="15">
        <v>44608</v>
      </c>
      <c r="H306" s="12">
        <v>109</v>
      </c>
      <c r="I306" t="str">
        <v>Wellington</v>
      </c>
      <c r="J306" t="str">
        <v>New Zealand</v>
      </c>
      <c r="K306" t="str">
        <v>Trailer</v>
      </c>
      <c r="L306" t="str">
        <v>Standard</v>
      </c>
      <c r="P306">
        <f t="shared" si="4"/>
        <v>1</v>
      </c>
    </row>
    <row r="307" spans="1:16" ht="14.5" x14ac:dyDescent="0.35">
      <c r="A307" s="12">
        <v>306</v>
      </c>
      <c r="B307" s="13" t="s">
        <v>8</v>
      </c>
      <c r="C307" s="12">
        <v>535</v>
      </c>
      <c r="D307" s="12">
        <v>1977</v>
      </c>
      <c r="E307" s="13" t="s">
        <v>220</v>
      </c>
      <c r="F307" s="13" t="s">
        <v>69</v>
      </c>
      <c r="G307" s="15">
        <v>44609</v>
      </c>
      <c r="H307" s="12">
        <v>102</v>
      </c>
      <c r="I307" t="str">
        <v>Auckland</v>
      </c>
      <c r="J307" t="str">
        <v>New Zealand</v>
      </c>
      <c r="K307" t="str">
        <v>Domett</v>
      </c>
      <c r="L307" t="str">
        <v>Standard</v>
      </c>
      <c r="P307">
        <f t="shared" si="4"/>
        <v>1</v>
      </c>
    </row>
    <row r="308" spans="1:16" ht="14.5" x14ac:dyDescent="0.35">
      <c r="A308" s="12">
        <v>307</v>
      </c>
      <c r="B308" s="13" t="s">
        <v>11</v>
      </c>
      <c r="C308" s="12">
        <v>623</v>
      </c>
      <c r="D308" s="12">
        <v>2020</v>
      </c>
      <c r="E308" s="13" t="s">
        <v>13</v>
      </c>
      <c r="F308" s="13" t="s">
        <v>10</v>
      </c>
      <c r="G308" s="15">
        <v>44609</v>
      </c>
      <c r="H308" s="12">
        <v>102</v>
      </c>
      <c r="I308" t="str">
        <v>Auckland</v>
      </c>
      <c r="J308" t="str">
        <v>New Zealand</v>
      </c>
      <c r="K308" t="str">
        <v>Trailer</v>
      </c>
      <c r="L308" t="str">
        <v>Standard</v>
      </c>
      <c r="P308">
        <f t="shared" si="4"/>
        <v>1</v>
      </c>
    </row>
    <row r="309" spans="1:16" ht="14.5" x14ac:dyDescent="0.35">
      <c r="A309" s="12">
        <v>308</v>
      </c>
      <c r="B309" s="13" t="s">
        <v>61</v>
      </c>
      <c r="C309" s="12">
        <v>508</v>
      </c>
      <c r="D309" s="12">
        <v>2009</v>
      </c>
      <c r="E309" s="13" t="s">
        <v>221</v>
      </c>
      <c r="F309" s="13" t="s">
        <v>32</v>
      </c>
      <c r="G309" s="15">
        <v>44609</v>
      </c>
      <c r="H309" s="12">
        <v>102</v>
      </c>
      <c r="I309" t="str">
        <v>Auckland</v>
      </c>
      <c r="J309" t="str">
        <v>New Zealand</v>
      </c>
      <c r="K309" t="str">
        <v>Bailey</v>
      </c>
      <c r="L309" t="str">
        <v>Standard</v>
      </c>
      <c r="P309">
        <f t="shared" si="4"/>
        <v>1</v>
      </c>
    </row>
    <row r="310" spans="1:16" ht="14.5" x14ac:dyDescent="0.35">
      <c r="A310" s="12">
        <v>309</v>
      </c>
      <c r="B310" s="13" t="s">
        <v>11</v>
      </c>
      <c r="C310" s="12">
        <v>623</v>
      </c>
      <c r="D310" s="12">
        <v>2020</v>
      </c>
      <c r="E310" s="13" t="s">
        <v>178</v>
      </c>
      <c r="F310" s="13" t="s">
        <v>45</v>
      </c>
      <c r="G310" s="15">
        <v>44610</v>
      </c>
      <c r="H310" s="12">
        <v>101</v>
      </c>
      <c r="I310" t="str">
        <v>Northland</v>
      </c>
      <c r="J310" t="str">
        <v>New Zealand</v>
      </c>
      <c r="K310" t="str">
        <v>Trailer</v>
      </c>
      <c r="L310" t="str">
        <v>Standard</v>
      </c>
      <c r="P310">
        <f t="shared" si="4"/>
        <v>1</v>
      </c>
    </row>
    <row r="311" spans="1:16" ht="14.5" x14ac:dyDescent="0.35">
      <c r="A311" s="12">
        <v>310</v>
      </c>
      <c r="B311" s="13" t="s">
        <v>16</v>
      </c>
      <c r="C311" s="12">
        <v>561</v>
      </c>
      <c r="D311" s="12">
        <v>1986</v>
      </c>
      <c r="E311" s="13" t="s">
        <v>222</v>
      </c>
      <c r="F311" s="13" t="s">
        <v>69</v>
      </c>
      <c r="G311" s="15">
        <v>44610</v>
      </c>
      <c r="H311" s="12">
        <v>101</v>
      </c>
      <c r="I311" t="str">
        <v>Northland</v>
      </c>
      <c r="J311" t="str">
        <v>New Zealand</v>
      </c>
      <c r="K311" t="str">
        <v>Kawasaki</v>
      </c>
      <c r="L311" t="str">
        <v>Standard</v>
      </c>
      <c r="P311">
        <f t="shared" si="4"/>
        <v>1</v>
      </c>
    </row>
    <row r="312" spans="1:16" ht="14.5" x14ac:dyDescent="0.35">
      <c r="A312" s="12">
        <v>311</v>
      </c>
      <c r="B312" s="13" t="s">
        <v>11</v>
      </c>
      <c r="C312" s="12">
        <v>623</v>
      </c>
      <c r="D312" s="12">
        <v>2020</v>
      </c>
      <c r="E312" s="13" t="s">
        <v>178</v>
      </c>
      <c r="F312" s="13" t="s">
        <v>10</v>
      </c>
      <c r="G312" s="15">
        <v>44611</v>
      </c>
      <c r="H312" s="12">
        <v>103</v>
      </c>
      <c r="I312" t="str">
        <v>Waikato</v>
      </c>
      <c r="J312" t="str">
        <v>New Zealand</v>
      </c>
      <c r="K312" t="str">
        <v>Trailer</v>
      </c>
      <c r="L312" t="str">
        <v>Standard</v>
      </c>
      <c r="P312">
        <f t="shared" si="4"/>
        <v>2</v>
      </c>
    </row>
    <row r="313" spans="1:16" ht="14.5" x14ac:dyDescent="0.35">
      <c r="A313" s="12">
        <v>312</v>
      </c>
      <c r="B313" s="13" t="s">
        <v>8</v>
      </c>
      <c r="C313" s="12">
        <v>623</v>
      </c>
      <c r="D313" s="12">
        <v>2020</v>
      </c>
      <c r="E313" s="13" t="s">
        <v>223</v>
      </c>
      <c r="F313" s="13" t="s">
        <v>10</v>
      </c>
      <c r="G313" s="15">
        <v>44611</v>
      </c>
      <c r="H313" s="12">
        <v>114</v>
      </c>
      <c r="I313" t="str">
        <v>Canterbury</v>
      </c>
      <c r="J313" t="str">
        <v>New Zealand</v>
      </c>
      <c r="K313" t="str">
        <v>Trailer</v>
      </c>
      <c r="L313" t="str">
        <v>Standard</v>
      </c>
      <c r="P313">
        <f t="shared" si="4"/>
        <v>2</v>
      </c>
    </row>
    <row r="314" spans="1:16" ht="14.5" x14ac:dyDescent="0.35">
      <c r="A314" s="12">
        <v>313</v>
      </c>
      <c r="B314" s="13" t="s">
        <v>8</v>
      </c>
      <c r="C314" s="12">
        <v>549</v>
      </c>
      <c r="D314" s="12">
        <v>1989</v>
      </c>
      <c r="E314" s="13" t="s">
        <v>36</v>
      </c>
      <c r="F314" s="13" t="s">
        <v>45</v>
      </c>
      <c r="G314" s="15">
        <v>44611</v>
      </c>
      <c r="H314" s="12">
        <v>103</v>
      </c>
      <c r="I314" t="str">
        <v>Waikato</v>
      </c>
      <c r="J314" t="str">
        <v>New Zealand</v>
      </c>
      <c r="K314" t="str">
        <v>Homebuilt</v>
      </c>
      <c r="L314" t="str">
        <v>Standard</v>
      </c>
      <c r="P314">
        <f t="shared" si="4"/>
        <v>1</v>
      </c>
    </row>
    <row r="315" spans="1:16" ht="14.5" x14ac:dyDescent="0.35">
      <c r="A315" s="12">
        <v>314</v>
      </c>
      <c r="B315" s="13" t="s">
        <v>11</v>
      </c>
      <c r="C315" s="12">
        <v>623</v>
      </c>
      <c r="D315" s="12">
        <v>2019</v>
      </c>
      <c r="E315" s="13" t="s">
        <v>224</v>
      </c>
      <c r="F315" s="13" t="s">
        <v>45</v>
      </c>
      <c r="G315" s="15">
        <v>44613</v>
      </c>
      <c r="H315" s="12">
        <v>102</v>
      </c>
      <c r="I315" t="str">
        <v>Auckland</v>
      </c>
      <c r="J315" t="str">
        <v>New Zealand</v>
      </c>
      <c r="K315" t="str">
        <v>Trailer</v>
      </c>
      <c r="L315" t="str">
        <v>Standard</v>
      </c>
      <c r="P315">
        <f t="shared" si="4"/>
        <v>1</v>
      </c>
    </row>
    <row r="316" spans="1:16" ht="14.5" x14ac:dyDescent="0.35">
      <c r="A316" s="12">
        <v>315</v>
      </c>
      <c r="B316" s="13" t="s">
        <v>11</v>
      </c>
      <c r="C316" s="12">
        <v>527</v>
      </c>
      <c r="D316" s="12">
        <v>2020</v>
      </c>
      <c r="E316" s="13" t="s">
        <v>225</v>
      </c>
      <c r="F316" s="13" t="s">
        <v>10</v>
      </c>
      <c r="G316" s="15">
        <v>44613</v>
      </c>
      <c r="H316" s="12">
        <v>102</v>
      </c>
      <c r="I316" t="str">
        <v>Auckland</v>
      </c>
      <c r="J316" t="str">
        <v>New Zealand</v>
      </c>
      <c r="K316" t="str">
        <v>Custombuilt</v>
      </c>
      <c r="L316" t="str">
        <v>Standard</v>
      </c>
      <c r="P316">
        <f t="shared" si="4"/>
        <v>1</v>
      </c>
    </row>
    <row r="317" spans="1:16" ht="14.5" x14ac:dyDescent="0.35">
      <c r="A317" s="12">
        <v>316</v>
      </c>
      <c r="B317" s="13" t="s">
        <v>16</v>
      </c>
      <c r="C317" s="12">
        <v>554</v>
      </c>
      <c r="D317" s="12">
        <v>2006</v>
      </c>
      <c r="E317" s="13" t="s">
        <v>226</v>
      </c>
      <c r="F317" s="13" t="s">
        <v>69</v>
      </c>
      <c r="G317" s="15">
        <v>44614</v>
      </c>
      <c r="H317" s="12">
        <v>105</v>
      </c>
      <c r="I317" t="str">
        <v>Gisborne</v>
      </c>
      <c r="J317" t="str">
        <v>New Zealand</v>
      </c>
      <c r="K317" t="str">
        <v>Hyosung</v>
      </c>
      <c r="L317" t="str">
        <v>Standard</v>
      </c>
      <c r="P317">
        <f t="shared" si="4"/>
        <v>1</v>
      </c>
    </row>
    <row r="318" spans="1:16" ht="14.5" x14ac:dyDescent="0.35">
      <c r="A318" s="12">
        <v>317</v>
      </c>
      <c r="B318" s="13" t="s">
        <v>11</v>
      </c>
      <c r="C318" s="12">
        <v>623</v>
      </c>
      <c r="D318" s="12">
        <v>2020</v>
      </c>
      <c r="E318" s="13" t="s">
        <v>51</v>
      </c>
      <c r="F318" s="13" t="s">
        <v>45</v>
      </c>
      <c r="G318" s="15">
        <v>44614</v>
      </c>
      <c r="H318" s="12">
        <v>103</v>
      </c>
      <c r="I318" t="str">
        <v>Waikato</v>
      </c>
      <c r="J318" t="str">
        <v>New Zealand</v>
      </c>
      <c r="K318" t="str">
        <v>Trailer</v>
      </c>
      <c r="L318" t="str">
        <v>Standard</v>
      </c>
      <c r="P318">
        <f t="shared" si="4"/>
        <v>2</v>
      </c>
    </row>
    <row r="319" spans="1:16" ht="14.5" x14ac:dyDescent="0.35">
      <c r="A319" s="12">
        <v>318</v>
      </c>
      <c r="B319" s="13" t="s">
        <v>37</v>
      </c>
      <c r="C319" s="12">
        <v>514</v>
      </c>
      <c r="D319" s="12">
        <v>2016</v>
      </c>
      <c r="E319" s="13" t="s">
        <v>136</v>
      </c>
      <c r="F319" s="13" t="s">
        <v>10</v>
      </c>
      <c r="G319" s="15">
        <v>44614</v>
      </c>
      <c r="H319" s="12">
        <v>102</v>
      </c>
      <c r="I319" t="str">
        <v>Auckland</v>
      </c>
      <c r="J319" t="str">
        <v>New Zealand</v>
      </c>
      <c r="K319" t="str">
        <v>Briford</v>
      </c>
      <c r="L319" t="str">
        <v>Standard</v>
      </c>
      <c r="P319">
        <f t="shared" si="4"/>
        <v>1</v>
      </c>
    </row>
    <row r="320" spans="1:16" ht="14.5" x14ac:dyDescent="0.35">
      <c r="A320" s="12">
        <v>319</v>
      </c>
      <c r="B320" s="13" t="s">
        <v>61</v>
      </c>
      <c r="C320" s="12">
        <v>519</v>
      </c>
      <c r="D320" s="12">
        <v>1977</v>
      </c>
      <c r="E320" s="13" t="s">
        <v>227</v>
      </c>
      <c r="F320" s="13" t="s">
        <v>32</v>
      </c>
      <c r="G320" s="15">
        <v>44614</v>
      </c>
      <c r="H320" s="12">
        <v>104</v>
      </c>
      <c r="I320" t="str">
        <v>Bay of Plenty</v>
      </c>
      <c r="J320" t="str">
        <v>New Zealand</v>
      </c>
      <c r="K320" t="str">
        <v>Caravan</v>
      </c>
      <c r="L320" t="str">
        <v>Standard</v>
      </c>
      <c r="P320">
        <f t="shared" si="4"/>
        <v>1</v>
      </c>
    </row>
    <row r="321" spans="1:16" ht="14.5" x14ac:dyDescent="0.35">
      <c r="A321" s="12">
        <v>320</v>
      </c>
      <c r="B321" s="13" t="s">
        <v>8</v>
      </c>
      <c r="C321" s="12">
        <v>623</v>
      </c>
      <c r="D321" s="12">
        <v>1981</v>
      </c>
      <c r="E321" s="13" t="s">
        <v>51</v>
      </c>
      <c r="F321" s="13" t="s">
        <v>45</v>
      </c>
      <c r="G321" s="15">
        <v>44614</v>
      </c>
      <c r="H321" s="12">
        <v>106</v>
      </c>
      <c r="I321" t="str">
        <v>Hawke's Bay</v>
      </c>
      <c r="J321" t="str">
        <v>New Zealand</v>
      </c>
      <c r="K321" t="str">
        <v>Trailer</v>
      </c>
      <c r="L321" t="str">
        <v>Standard</v>
      </c>
      <c r="P321">
        <f t="shared" si="4"/>
        <v>2</v>
      </c>
    </row>
    <row r="322" spans="1:16" ht="14.5" x14ac:dyDescent="0.35">
      <c r="A322" s="12">
        <v>321</v>
      </c>
      <c r="B322" s="13" t="s">
        <v>8</v>
      </c>
      <c r="C322" s="12">
        <v>623</v>
      </c>
      <c r="D322" s="12">
        <v>2020</v>
      </c>
      <c r="E322" s="13" t="s">
        <v>58</v>
      </c>
      <c r="F322" s="13" t="s">
        <v>10</v>
      </c>
      <c r="G322" s="15">
        <v>44615</v>
      </c>
      <c r="H322" s="12">
        <v>102</v>
      </c>
      <c r="I322" t="str">
        <v>Auckland</v>
      </c>
      <c r="J322" t="str">
        <v>New Zealand</v>
      </c>
      <c r="K322" t="str">
        <v>Trailer</v>
      </c>
      <c r="L322" t="str">
        <v>Standard</v>
      </c>
      <c r="P322">
        <f t="shared" si="4"/>
        <v>5</v>
      </c>
    </row>
    <row r="323" spans="1:16" ht="14.5" x14ac:dyDescent="0.35">
      <c r="A323" s="12">
        <v>322</v>
      </c>
      <c r="B323" s="13" t="s">
        <v>8</v>
      </c>
      <c r="C323" s="12">
        <v>623</v>
      </c>
      <c r="D323" s="12">
        <v>2020</v>
      </c>
      <c r="E323" s="13" t="s">
        <v>33</v>
      </c>
      <c r="F323" s="13" t="s">
        <v>10</v>
      </c>
      <c r="G323" s="15">
        <v>44615</v>
      </c>
      <c r="H323" s="12">
        <v>108</v>
      </c>
      <c r="I323" t="str">
        <v>Manawatū-Whanganui</v>
      </c>
      <c r="J323" t="str">
        <v>New Zealand</v>
      </c>
      <c r="K323" t="str">
        <v>Trailer</v>
      </c>
      <c r="L323" t="str">
        <v>Standard</v>
      </c>
      <c r="P323">
        <f t="shared" ref="P323:P386" si="5">COUNTIFS($G$2:$G$501,G323,$K$2:$K$501,K323)</f>
        <v>5</v>
      </c>
    </row>
    <row r="324" spans="1:16" ht="14.5" x14ac:dyDescent="0.35">
      <c r="A324" s="12">
        <v>323</v>
      </c>
      <c r="B324" s="13" t="s">
        <v>8</v>
      </c>
      <c r="C324" s="12">
        <v>623</v>
      </c>
      <c r="D324" s="12">
        <v>2020</v>
      </c>
      <c r="E324" s="13" t="s">
        <v>92</v>
      </c>
      <c r="F324" s="13" t="s">
        <v>10</v>
      </c>
      <c r="G324" s="15">
        <v>44615</v>
      </c>
      <c r="H324" s="12">
        <v>114</v>
      </c>
      <c r="I324" t="str">
        <v>Canterbury</v>
      </c>
      <c r="J324" t="str">
        <v>New Zealand</v>
      </c>
      <c r="K324" t="str">
        <v>Trailer</v>
      </c>
      <c r="L324" t="str">
        <v>Standard</v>
      </c>
      <c r="P324">
        <f t="shared" si="5"/>
        <v>5</v>
      </c>
    </row>
    <row r="325" spans="1:16" ht="14.5" x14ac:dyDescent="0.35">
      <c r="A325" s="12">
        <v>324</v>
      </c>
      <c r="B325" s="13" t="s">
        <v>8</v>
      </c>
      <c r="C325" s="12">
        <v>623</v>
      </c>
      <c r="D325" s="12">
        <v>2020</v>
      </c>
      <c r="E325" s="13" t="s">
        <v>228</v>
      </c>
      <c r="F325" s="13" t="s">
        <v>45</v>
      </c>
      <c r="G325" s="15">
        <v>44615</v>
      </c>
      <c r="H325" s="12">
        <v>102</v>
      </c>
      <c r="I325" t="str">
        <v>Auckland</v>
      </c>
      <c r="J325" t="str">
        <v>New Zealand</v>
      </c>
      <c r="K325" t="str">
        <v>Trailer</v>
      </c>
      <c r="L325" t="str">
        <v>Standard</v>
      </c>
      <c r="P325">
        <f t="shared" si="5"/>
        <v>5</v>
      </c>
    </row>
    <row r="326" spans="1:16" ht="14.5" x14ac:dyDescent="0.35">
      <c r="A326" s="12">
        <v>325</v>
      </c>
      <c r="B326" s="13" t="s">
        <v>11</v>
      </c>
      <c r="C326" s="12">
        <v>623</v>
      </c>
      <c r="D326" s="12">
        <v>2020</v>
      </c>
      <c r="E326" s="13" t="s">
        <v>163</v>
      </c>
      <c r="F326" s="13" t="s">
        <v>10</v>
      </c>
      <c r="G326" s="15">
        <v>44615</v>
      </c>
      <c r="H326" s="12">
        <v>102</v>
      </c>
      <c r="I326" t="str">
        <v>Auckland</v>
      </c>
      <c r="J326" t="str">
        <v>New Zealand</v>
      </c>
      <c r="K326" t="str">
        <v>Trailer</v>
      </c>
      <c r="L326" t="str">
        <v>Standard</v>
      </c>
      <c r="P326">
        <f t="shared" si="5"/>
        <v>5</v>
      </c>
    </row>
    <row r="327" spans="1:16" ht="14.5" x14ac:dyDescent="0.35">
      <c r="A327" s="12">
        <v>326</v>
      </c>
      <c r="B327" s="13" t="s">
        <v>8</v>
      </c>
      <c r="C327" s="12">
        <v>623</v>
      </c>
      <c r="D327" s="12">
        <v>2020</v>
      </c>
      <c r="E327" s="13" t="s">
        <v>100</v>
      </c>
      <c r="F327" s="13" t="s">
        <v>10</v>
      </c>
      <c r="G327" s="15">
        <v>44616</v>
      </c>
      <c r="H327" s="12">
        <v>108</v>
      </c>
      <c r="I327" t="str">
        <v>Manawatū-Whanganui</v>
      </c>
      <c r="J327" t="str">
        <v>New Zealand</v>
      </c>
      <c r="K327" t="str">
        <v>Trailer</v>
      </c>
      <c r="L327" t="str">
        <v>Standard</v>
      </c>
      <c r="P327">
        <f t="shared" si="5"/>
        <v>2</v>
      </c>
    </row>
    <row r="328" spans="1:16" ht="14.5" x14ac:dyDescent="0.35">
      <c r="A328" s="12">
        <v>327</v>
      </c>
      <c r="B328" s="13" t="s">
        <v>61</v>
      </c>
      <c r="C328" s="12">
        <v>526</v>
      </c>
      <c r="D328" s="12">
        <v>2010</v>
      </c>
      <c r="E328" s="12">
        <v>560</v>
      </c>
      <c r="F328" s="13" t="s">
        <v>32</v>
      </c>
      <c r="G328" s="15">
        <v>44616</v>
      </c>
      <c r="H328" s="12">
        <v>114</v>
      </c>
      <c r="I328" t="str">
        <v>Canterbury</v>
      </c>
      <c r="J328" t="str">
        <v>New Zealand</v>
      </c>
      <c r="K328" t="str">
        <v>Crusader</v>
      </c>
      <c r="L328" t="str">
        <v>Standard</v>
      </c>
      <c r="P328">
        <f t="shared" si="5"/>
        <v>1</v>
      </c>
    </row>
    <row r="329" spans="1:16" ht="14.5" x14ac:dyDescent="0.35">
      <c r="A329" s="12">
        <v>328</v>
      </c>
      <c r="B329" s="13" t="s">
        <v>16</v>
      </c>
      <c r="C329" s="12">
        <v>611</v>
      </c>
      <c r="D329" s="12">
        <v>2008</v>
      </c>
      <c r="E329" s="13" t="s">
        <v>229</v>
      </c>
      <c r="F329" s="13" t="s">
        <v>69</v>
      </c>
      <c r="G329" s="15">
        <v>44616</v>
      </c>
      <c r="H329" s="12">
        <v>111</v>
      </c>
      <c r="I329" t="str">
        <v>Nelson</v>
      </c>
      <c r="J329" t="str">
        <v>New Zealand</v>
      </c>
      <c r="K329" t="str">
        <v>Suzuki</v>
      </c>
      <c r="L329" t="str">
        <v>Standard</v>
      </c>
      <c r="P329">
        <f t="shared" si="5"/>
        <v>1</v>
      </c>
    </row>
    <row r="330" spans="1:16" ht="14.5" x14ac:dyDescent="0.35">
      <c r="A330" s="12">
        <v>329</v>
      </c>
      <c r="B330" s="13" t="s">
        <v>8</v>
      </c>
      <c r="C330" s="12">
        <v>623</v>
      </c>
      <c r="D330" s="12">
        <v>1996</v>
      </c>
      <c r="E330" s="13" t="s">
        <v>33</v>
      </c>
      <c r="F330" s="13" t="s">
        <v>45</v>
      </c>
      <c r="G330" s="15">
        <v>44616</v>
      </c>
      <c r="H330" s="12">
        <v>105</v>
      </c>
      <c r="I330" t="str">
        <v>Gisborne</v>
      </c>
      <c r="J330" t="str">
        <v>New Zealand</v>
      </c>
      <c r="K330" t="str">
        <v>Trailer</v>
      </c>
      <c r="L330" t="str">
        <v>Standard</v>
      </c>
      <c r="P330">
        <f t="shared" si="5"/>
        <v>2</v>
      </c>
    </row>
    <row r="331" spans="1:16" ht="14.5" x14ac:dyDescent="0.35">
      <c r="A331" s="12">
        <v>330</v>
      </c>
      <c r="B331" s="13" t="s">
        <v>8</v>
      </c>
      <c r="C331" s="12">
        <v>562</v>
      </c>
      <c r="D331" s="12">
        <v>2020</v>
      </c>
      <c r="E331" s="13" t="s">
        <v>230</v>
      </c>
      <c r="F331" s="13" t="s">
        <v>10</v>
      </c>
      <c r="G331" s="15">
        <v>44617</v>
      </c>
      <c r="H331" s="12">
        <v>104</v>
      </c>
      <c r="I331" t="str">
        <v>Bay of Plenty</v>
      </c>
      <c r="J331" t="str">
        <v>New Zealand</v>
      </c>
      <c r="K331" t="str">
        <v>Kea</v>
      </c>
      <c r="L331" t="str">
        <v>Standard</v>
      </c>
      <c r="P331">
        <f t="shared" si="5"/>
        <v>1</v>
      </c>
    </row>
    <row r="332" spans="1:16" ht="14.5" x14ac:dyDescent="0.35">
      <c r="A332" s="12">
        <v>331</v>
      </c>
      <c r="B332" s="13" t="s">
        <v>16</v>
      </c>
      <c r="C332" s="12">
        <v>611</v>
      </c>
      <c r="D332" s="12">
        <v>2005</v>
      </c>
      <c r="E332" s="13" t="s">
        <v>231</v>
      </c>
      <c r="F332" s="13" t="s">
        <v>18</v>
      </c>
      <c r="G332" s="15">
        <v>44617</v>
      </c>
      <c r="H332" s="12">
        <v>102</v>
      </c>
      <c r="I332" t="str">
        <v>Auckland</v>
      </c>
      <c r="J332" t="str">
        <v>New Zealand</v>
      </c>
      <c r="K332" t="str">
        <v>Suzuki</v>
      </c>
      <c r="L332" t="str">
        <v>Standard</v>
      </c>
      <c r="P332">
        <f t="shared" si="5"/>
        <v>1</v>
      </c>
    </row>
    <row r="333" spans="1:16" ht="14.5" x14ac:dyDescent="0.35">
      <c r="A333" s="12">
        <v>332</v>
      </c>
      <c r="B333" s="13" t="s">
        <v>8</v>
      </c>
      <c r="C333" s="12">
        <v>623</v>
      </c>
      <c r="D333" s="12">
        <v>2012</v>
      </c>
      <c r="E333" s="13" t="s">
        <v>33</v>
      </c>
      <c r="F333" s="13" t="s">
        <v>10</v>
      </c>
      <c r="G333" s="15">
        <v>44618</v>
      </c>
      <c r="H333" s="12">
        <v>107</v>
      </c>
      <c r="I333" t="str">
        <v>Taranaki</v>
      </c>
      <c r="J333" t="str">
        <v>New Zealand</v>
      </c>
      <c r="K333" t="str">
        <v>Trailer</v>
      </c>
      <c r="L333" t="str">
        <v>Standard</v>
      </c>
      <c r="P333">
        <f t="shared" si="5"/>
        <v>1</v>
      </c>
    </row>
    <row r="334" spans="1:16" ht="14.5" x14ac:dyDescent="0.35">
      <c r="A334" s="12">
        <v>333</v>
      </c>
      <c r="B334" s="13" t="s">
        <v>8</v>
      </c>
      <c r="C334" s="12">
        <v>623</v>
      </c>
      <c r="D334" s="12">
        <v>2020</v>
      </c>
      <c r="E334" s="13" t="s">
        <v>232</v>
      </c>
      <c r="F334" s="13" t="s">
        <v>45</v>
      </c>
      <c r="G334" s="15">
        <v>44619</v>
      </c>
      <c r="H334" s="12">
        <v>111</v>
      </c>
      <c r="I334" t="str">
        <v>Nelson</v>
      </c>
      <c r="J334" t="str">
        <v>New Zealand</v>
      </c>
      <c r="K334" t="str">
        <v>Trailer</v>
      </c>
      <c r="L334" t="str">
        <v>Standard</v>
      </c>
      <c r="P334">
        <f t="shared" si="5"/>
        <v>2</v>
      </c>
    </row>
    <row r="335" spans="1:16" ht="14.5" x14ac:dyDescent="0.35">
      <c r="A335" s="12">
        <v>334</v>
      </c>
      <c r="B335" s="13" t="s">
        <v>8</v>
      </c>
      <c r="C335" s="12">
        <v>595</v>
      </c>
      <c r="D335" s="12">
        <v>2012</v>
      </c>
      <c r="E335" s="13" t="s">
        <v>233</v>
      </c>
      <c r="F335" s="13" t="s">
        <v>10</v>
      </c>
      <c r="G335" s="15">
        <v>44619</v>
      </c>
      <c r="H335" s="12">
        <v>114</v>
      </c>
      <c r="I335" t="str">
        <v>Canterbury</v>
      </c>
      <c r="J335" t="str">
        <v>New Zealand</v>
      </c>
      <c r="K335" t="str">
        <v>Pinto</v>
      </c>
      <c r="L335" t="str">
        <v>Standard</v>
      </c>
      <c r="P335">
        <f t="shared" si="5"/>
        <v>1</v>
      </c>
    </row>
    <row r="336" spans="1:16" ht="14.5" x14ac:dyDescent="0.35">
      <c r="A336" s="12">
        <v>335</v>
      </c>
      <c r="B336" s="13" t="s">
        <v>8</v>
      </c>
      <c r="C336" s="12">
        <v>623</v>
      </c>
      <c r="D336" s="12">
        <v>2016</v>
      </c>
      <c r="E336" s="13" t="s">
        <v>58</v>
      </c>
      <c r="F336" s="13" t="s">
        <v>10</v>
      </c>
      <c r="G336" s="15">
        <v>44619</v>
      </c>
      <c r="H336" s="12">
        <v>102</v>
      </c>
      <c r="I336" t="str">
        <v>Auckland</v>
      </c>
      <c r="J336" t="str">
        <v>New Zealand</v>
      </c>
      <c r="K336" t="str">
        <v>Trailer</v>
      </c>
      <c r="L336" t="str">
        <v>Standard</v>
      </c>
      <c r="P336">
        <f t="shared" si="5"/>
        <v>2</v>
      </c>
    </row>
    <row r="337" spans="1:16" ht="14.5" x14ac:dyDescent="0.35">
      <c r="A337" s="12">
        <v>336</v>
      </c>
      <c r="B337" s="13" t="s">
        <v>8</v>
      </c>
      <c r="C337" s="12">
        <v>538</v>
      </c>
      <c r="D337" s="12">
        <v>2016</v>
      </c>
      <c r="E337" s="13" t="s">
        <v>24</v>
      </c>
      <c r="F337" s="13" t="s">
        <v>10</v>
      </c>
      <c r="G337" s="15">
        <v>44619</v>
      </c>
      <c r="H337" s="12">
        <v>109</v>
      </c>
      <c r="I337" t="str">
        <v>Wellington</v>
      </c>
      <c r="J337" t="str">
        <v>New Zealand</v>
      </c>
      <c r="K337" t="str">
        <v>Factory Built</v>
      </c>
      <c r="L337" t="str">
        <v>Standard</v>
      </c>
      <c r="P337">
        <f t="shared" si="5"/>
        <v>1</v>
      </c>
    </row>
    <row r="338" spans="1:16" ht="14.5" x14ac:dyDescent="0.35">
      <c r="A338" s="12">
        <v>337</v>
      </c>
      <c r="B338" s="13" t="s">
        <v>8</v>
      </c>
      <c r="C338" s="12">
        <v>616</v>
      </c>
      <c r="D338" s="12">
        <v>2016</v>
      </c>
      <c r="E338" s="13" t="s">
        <v>232</v>
      </c>
      <c r="F338" s="13" t="s">
        <v>10</v>
      </c>
      <c r="G338" s="15">
        <v>44620</v>
      </c>
      <c r="H338" s="12">
        <v>104</v>
      </c>
      <c r="I338" t="str">
        <v>Bay of Plenty</v>
      </c>
      <c r="J338" t="str">
        <v>New Zealand</v>
      </c>
      <c r="K338" t="str">
        <v>Titan</v>
      </c>
      <c r="L338" t="str">
        <v>Standard</v>
      </c>
      <c r="P338">
        <f t="shared" si="5"/>
        <v>1</v>
      </c>
    </row>
    <row r="339" spans="1:16" ht="14.5" x14ac:dyDescent="0.35">
      <c r="A339" s="12">
        <v>338</v>
      </c>
      <c r="B339" s="13" t="s">
        <v>8</v>
      </c>
      <c r="C339" s="12">
        <v>514</v>
      </c>
      <c r="D339" s="12">
        <v>2016</v>
      </c>
      <c r="E339" s="13" t="s">
        <v>209</v>
      </c>
      <c r="F339" s="13" t="s">
        <v>10</v>
      </c>
      <c r="G339" s="15">
        <v>44620</v>
      </c>
      <c r="H339" s="12">
        <v>114</v>
      </c>
      <c r="I339" t="str">
        <v>Canterbury</v>
      </c>
      <c r="J339" t="str">
        <v>New Zealand</v>
      </c>
      <c r="K339" t="str">
        <v>Briford</v>
      </c>
      <c r="L339" t="str">
        <v>Standard</v>
      </c>
      <c r="P339">
        <f t="shared" si="5"/>
        <v>2</v>
      </c>
    </row>
    <row r="340" spans="1:16" ht="14.5" x14ac:dyDescent="0.35">
      <c r="A340" s="12">
        <v>339</v>
      </c>
      <c r="B340" s="13" t="s">
        <v>8</v>
      </c>
      <c r="C340" s="12">
        <v>549</v>
      </c>
      <c r="D340" s="12">
        <v>2016</v>
      </c>
      <c r="E340" s="13" t="s">
        <v>234</v>
      </c>
      <c r="F340" s="13" t="s">
        <v>10</v>
      </c>
      <c r="G340" s="15">
        <v>44620</v>
      </c>
      <c r="H340" s="12">
        <v>102</v>
      </c>
      <c r="I340" t="str">
        <v>Auckland</v>
      </c>
      <c r="J340" t="str">
        <v>New Zealand</v>
      </c>
      <c r="K340" t="str">
        <v>Homebuilt</v>
      </c>
      <c r="L340" t="str">
        <v>Standard</v>
      </c>
      <c r="P340">
        <f t="shared" si="5"/>
        <v>1</v>
      </c>
    </row>
    <row r="341" spans="1:16" ht="14.5" x14ac:dyDescent="0.35">
      <c r="A341" s="12">
        <v>340</v>
      </c>
      <c r="B341" s="13" t="s">
        <v>11</v>
      </c>
      <c r="C341" s="12">
        <v>597</v>
      </c>
      <c r="D341" s="12">
        <v>2016</v>
      </c>
      <c r="E341" s="13" t="s">
        <v>46</v>
      </c>
      <c r="F341" s="13" t="s">
        <v>10</v>
      </c>
      <c r="G341" s="15">
        <v>44620</v>
      </c>
      <c r="H341" s="12">
        <v>102</v>
      </c>
      <c r="I341" t="str">
        <v>Auckland</v>
      </c>
      <c r="J341" t="str">
        <v>New Zealand</v>
      </c>
      <c r="K341" t="str">
        <v>Reid</v>
      </c>
      <c r="L341" t="str">
        <v>Standard</v>
      </c>
      <c r="P341">
        <f t="shared" si="5"/>
        <v>1</v>
      </c>
    </row>
    <row r="342" spans="1:16" ht="14.5" x14ac:dyDescent="0.35">
      <c r="A342" s="12">
        <v>341</v>
      </c>
      <c r="B342" s="13" t="s">
        <v>235</v>
      </c>
      <c r="C342" s="12">
        <v>619</v>
      </c>
      <c r="D342" s="12">
        <v>2001</v>
      </c>
      <c r="E342" s="13" t="s">
        <v>236</v>
      </c>
      <c r="F342" s="13" t="s">
        <v>32</v>
      </c>
      <c r="G342" s="15">
        <v>44620</v>
      </c>
      <c r="H342" s="12">
        <v>102</v>
      </c>
      <c r="I342" t="str">
        <v>Auckland</v>
      </c>
      <c r="J342" t="str">
        <v>New Zealand</v>
      </c>
      <c r="K342" t="str">
        <v>Toyota</v>
      </c>
      <c r="L342" t="str">
        <v>Standard</v>
      </c>
      <c r="P342">
        <f t="shared" si="5"/>
        <v>1</v>
      </c>
    </row>
    <row r="343" spans="1:16" ht="14.5" x14ac:dyDescent="0.35">
      <c r="A343" s="12">
        <v>342</v>
      </c>
      <c r="B343" s="13" t="s">
        <v>8</v>
      </c>
      <c r="C343" s="12">
        <v>514</v>
      </c>
      <c r="D343" s="12">
        <v>2016</v>
      </c>
      <c r="E343" s="13" t="s">
        <v>237</v>
      </c>
      <c r="F343" s="13" t="s">
        <v>10</v>
      </c>
      <c r="G343" s="15">
        <v>44620</v>
      </c>
      <c r="H343" s="12">
        <v>109</v>
      </c>
      <c r="I343" t="str">
        <v>Wellington</v>
      </c>
      <c r="J343" t="str">
        <v>New Zealand</v>
      </c>
      <c r="K343" t="str">
        <v>Briford</v>
      </c>
      <c r="L343" t="str">
        <v>Standard</v>
      </c>
      <c r="P343">
        <f t="shared" si="5"/>
        <v>2</v>
      </c>
    </row>
    <row r="344" spans="1:16" ht="14.5" x14ac:dyDescent="0.35">
      <c r="A344" s="12">
        <v>343</v>
      </c>
      <c r="B344" s="13" t="s">
        <v>37</v>
      </c>
      <c r="C344" s="12">
        <v>623</v>
      </c>
      <c r="D344" s="12">
        <v>2016</v>
      </c>
      <c r="E344" s="13" t="s">
        <v>238</v>
      </c>
      <c r="F344" s="13" t="s">
        <v>10</v>
      </c>
      <c r="G344" s="15">
        <v>44620</v>
      </c>
      <c r="H344" s="12">
        <v>102</v>
      </c>
      <c r="I344" t="str">
        <v>Auckland</v>
      </c>
      <c r="J344" t="str">
        <v>New Zealand</v>
      </c>
      <c r="K344" t="str">
        <v>Trailer</v>
      </c>
      <c r="L344" t="str">
        <v>Standard</v>
      </c>
      <c r="P344">
        <f t="shared" si="5"/>
        <v>1</v>
      </c>
    </row>
    <row r="345" spans="1:16" ht="14.5" x14ac:dyDescent="0.35">
      <c r="A345" s="12">
        <v>344</v>
      </c>
      <c r="B345" s="13" t="s">
        <v>37</v>
      </c>
      <c r="C345" s="12">
        <v>623</v>
      </c>
      <c r="D345" s="12">
        <v>2016</v>
      </c>
      <c r="E345" s="13" t="s">
        <v>195</v>
      </c>
      <c r="F345" s="13" t="s">
        <v>10</v>
      </c>
      <c r="G345" s="14">
        <v>44621</v>
      </c>
      <c r="H345" s="12">
        <v>104</v>
      </c>
      <c r="I345" t="str">
        <v>Bay of Plenty</v>
      </c>
      <c r="J345" t="str">
        <v>New Zealand</v>
      </c>
      <c r="K345" t="str">
        <v>Trailer</v>
      </c>
      <c r="L345" t="str">
        <v>Standard</v>
      </c>
      <c r="P345">
        <f t="shared" si="5"/>
        <v>2</v>
      </c>
    </row>
    <row r="346" spans="1:16" ht="14.5" x14ac:dyDescent="0.35">
      <c r="A346" s="12">
        <v>345</v>
      </c>
      <c r="B346" s="13" t="s">
        <v>8</v>
      </c>
      <c r="C346" s="12">
        <v>623</v>
      </c>
      <c r="D346" s="12">
        <v>2016</v>
      </c>
      <c r="E346" s="13" t="s">
        <v>58</v>
      </c>
      <c r="F346" s="13" t="s">
        <v>47</v>
      </c>
      <c r="G346" s="14">
        <v>44621</v>
      </c>
      <c r="H346" s="12">
        <v>101</v>
      </c>
      <c r="I346" t="str">
        <v>Northland</v>
      </c>
      <c r="J346" t="str">
        <v>New Zealand</v>
      </c>
      <c r="K346" t="str">
        <v>Trailer</v>
      </c>
      <c r="L346" t="str">
        <v>Standard</v>
      </c>
      <c r="P346">
        <f t="shared" si="5"/>
        <v>2</v>
      </c>
    </row>
    <row r="347" spans="1:16" ht="14.5" x14ac:dyDescent="0.35">
      <c r="A347" s="12">
        <v>346</v>
      </c>
      <c r="B347" s="13" t="s">
        <v>8</v>
      </c>
      <c r="C347" s="12">
        <v>623</v>
      </c>
      <c r="D347" s="12">
        <v>2007</v>
      </c>
      <c r="E347" s="13" t="s">
        <v>51</v>
      </c>
      <c r="F347" s="13" t="s">
        <v>18</v>
      </c>
      <c r="G347" s="14">
        <v>44622</v>
      </c>
      <c r="H347" s="12">
        <v>103</v>
      </c>
      <c r="I347" t="str">
        <v>Waikato</v>
      </c>
      <c r="J347" t="str">
        <v>New Zealand</v>
      </c>
      <c r="K347" t="str">
        <v>Trailer</v>
      </c>
      <c r="L347" t="str">
        <v>Standard</v>
      </c>
      <c r="P347">
        <f t="shared" si="5"/>
        <v>4</v>
      </c>
    </row>
    <row r="348" spans="1:16" ht="14.5" x14ac:dyDescent="0.35">
      <c r="A348" s="12">
        <v>347</v>
      </c>
      <c r="B348" s="13" t="s">
        <v>8</v>
      </c>
      <c r="C348" s="12">
        <v>623</v>
      </c>
      <c r="D348" s="12">
        <v>2016</v>
      </c>
      <c r="E348" s="13" t="s">
        <v>33</v>
      </c>
      <c r="F348" s="13" t="s">
        <v>10</v>
      </c>
      <c r="G348" s="14">
        <v>44622</v>
      </c>
      <c r="H348" s="12">
        <v>114</v>
      </c>
      <c r="I348" t="str">
        <v>Canterbury</v>
      </c>
      <c r="J348" t="str">
        <v>New Zealand</v>
      </c>
      <c r="K348" t="str">
        <v>Trailer</v>
      </c>
      <c r="L348" t="str">
        <v>Standard</v>
      </c>
      <c r="P348">
        <f t="shared" si="5"/>
        <v>4</v>
      </c>
    </row>
    <row r="349" spans="1:16" ht="14.5" x14ac:dyDescent="0.35">
      <c r="A349" s="12">
        <v>348</v>
      </c>
      <c r="B349" s="13" t="s">
        <v>61</v>
      </c>
      <c r="C349" s="12">
        <v>519</v>
      </c>
      <c r="D349" s="12">
        <v>2005</v>
      </c>
      <c r="E349" s="13" t="s">
        <v>239</v>
      </c>
      <c r="F349" s="13" t="s">
        <v>32</v>
      </c>
      <c r="G349" s="14">
        <v>44622</v>
      </c>
      <c r="H349" s="12">
        <v>102</v>
      </c>
      <c r="I349" t="str">
        <v>Auckland</v>
      </c>
      <c r="J349" t="str">
        <v>New Zealand</v>
      </c>
      <c r="K349" t="str">
        <v>Caravan</v>
      </c>
      <c r="L349" t="str">
        <v>Standard</v>
      </c>
      <c r="P349">
        <f t="shared" si="5"/>
        <v>1</v>
      </c>
    </row>
    <row r="350" spans="1:16" ht="14.5" x14ac:dyDescent="0.35">
      <c r="A350" s="12">
        <v>349</v>
      </c>
      <c r="B350" s="13" t="s">
        <v>8</v>
      </c>
      <c r="C350" s="12">
        <v>623</v>
      </c>
      <c r="D350" s="12">
        <v>2016</v>
      </c>
      <c r="E350" s="13" t="s">
        <v>240</v>
      </c>
      <c r="F350" s="13" t="s">
        <v>10</v>
      </c>
      <c r="G350" s="14">
        <v>44622</v>
      </c>
      <c r="H350" s="12">
        <v>114</v>
      </c>
      <c r="I350" t="str">
        <v>Canterbury</v>
      </c>
      <c r="J350" t="str">
        <v>New Zealand</v>
      </c>
      <c r="K350" t="str">
        <v>Trailer</v>
      </c>
      <c r="L350" t="str">
        <v>Standard</v>
      </c>
      <c r="P350">
        <f t="shared" si="5"/>
        <v>4</v>
      </c>
    </row>
    <row r="351" spans="1:16" ht="14.5" x14ac:dyDescent="0.35">
      <c r="A351" s="12">
        <v>350</v>
      </c>
      <c r="B351" s="13" t="s">
        <v>8</v>
      </c>
      <c r="C351" s="12">
        <v>623</v>
      </c>
      <c r="D351" s="12">
        <v>2016</v>
      </c>
      <c r="E351" s="13" t="s">
        <v>209</v>
      </c>
      <c r="F351" s="13" t="s">
        <v>10</v>
      </c>
      <c r="G351" s="14">
        <v>44622</v>
      </c>
      <c r="H351" s="12">
        <v>114</v>
      </c>
      <c r="I351" t="str">
        <v>Canterbury</v>
      </c>
      <c r="J351" t="str">
        <v>New Zealand</v>
      </c>
      <c r="K351" t="str">
        <v>Trailer</v>
      </c>
      <c r="L351" t="str">
        <v>Standard</v>
      </c>
      <c r="P351">
        <f t="shared" si="5"/>
        <v>4</v>
      </c>
    </row>
    <row r="352" spans="1:16" ht="14.5" x14ac:dyDescent="0.35">
      <c r="A352" s="12">
        <v>351</v>
      </c>
      <c r="B352" s="13" t="s">
        <v>8</v>
      </c>
      <c r="C352" s="12">
        <v>514</v>
      </c>
      <c r="D352" s="12">
        <v>2016</v>
      </c>
      <c r="E352" s="13" t="s">
        <v>22</v>
      </c>
      <c r="F352" s="13" t="s">
        <v>10</v>
      </c>
      <c r="G352" s="14">
        <v>44623</v>
      </c>
      <c r="H352" s="12">
        <v>114</v>
      </c>
      <c r="I352" t="str">
        <v>Canterbury</v>
      </c>
      <c r="J352" t="str">
        <v>New Zealand</v>
      </c>
      <c r="K352" t="str">
        <v>Briford</v>
      </c>
      <c r="L352" t="str">
        <v>Standard</v>
      </c>
      <c r="P352">
        <f t="shared" si="5"/>
        <v>1</v>
      </c>
    </row>
    <row r="353" spans="1:16" ht="14.5" x14ac:dyDescent="0.35">
      <c r="A353" s="12">
        <v>352</v>
      </c>
      <c r="B353" s="13" t="s">
        <v>61</v>
      </c>
      <c r="C353" s="12">
        <v>612</v>
      </c>
      <c r="D353" s="12">
        <v>2002</v>
      </c>
      <c r="E353" s="13" t="s">
        <v>241</v>
      </c>
      <c r="F353" s="13" t="s">
        <v>32</v>
      </c>
      <c r="G353" s="14">
        <v>44623</v>
      </c>
      <c r="H353" s="12">
        <v>106</v>
      </c>
      <c r="I353" t="str">
        <v>Hawke's Bay</v>
      </c>
      <c r="J353" t="str">
        <v>New Zealand</v>
      </c>
      <c r="K353" t="str">
        <v>Swift</v>
      </c>
      <c r="L353" t="str">
        <v>Standard</v>
      </c>
      <c r="P353">
        <f t="shared" si="5"/>
        <v>1</v>
      </c>
    </row>
    <row r="354" spans="1:16" ht="14.5" x14ac:dyDescent="0.35">
      <c r="A354" s="12">
        <v>353</v>
      </c>
      <c r="B354" s="13" t="s">
        <v>8</v>
      </c>
      <c r="C354" s="12">
        <v>623</v>
      </c>
      <c r="D354" s="12">
        <v>2016</v>
      </c>
      <c r="E354" s="13" t="s">
        <v>51</v>
      </c>
      <c r="F354" s="13" t="s">
        <v>18</v>
      </c>
      <c r="G354" s="14">
        <v>44623</v>
      </c>
      <c r="H354" s="12">
        <v>109</v>
      </c>
      <c r="I354" t="str">
        <v>Wellington</v>
      </c>
      <c r="J354" t="str">
        <v>New Zealand</v>
      </c>
      <c r="K354" t="str">
        <v>Trailer</v>
      </c>
      <c r="L354" t="str">
        <v>Standard</v>
      </c>
      <c r="P354">
        <f t="shared" si="5"/>
        <v>1</v>
      </c>
    </row>
    <row r="355" spans="1:16" ht="14.5" x14ac:dyDescent="0.35">
      <c r="A355" s="12">
        <v>354</v>
      </c>
      <c r="B355" s="13" t="s">
        <v>8</v>
      </c>
      <c r="C355" s="12">
        <v>616</v>
      </c>
      <c r="D355" s="12">
        <v>2016</v>
      </c>
      <c r="E355" s="13" t="s">
        <v>242</v>
      </c>
      <c r="F355" s="13" t="s">
        <v>10</v>
      </c>
      <c r="G355" s="14">
        <v>44624</v>
      </c>
      <c r="H355" s="12">
        <v>104</v>
      </c>
      <c r="I355" t="str">
        <v>Bay of Plenty</v>
      </c>
      <c r="J355" t="str">
        <v>New Zealand</v>
      </c>
      <c r="K355" t="str">
        <v>Titan</v>
      </c>
      <c r="L355" t="str">
        <v>Standard</v>
      </c>
      <c r="P355">
        <f t="shared" si="5"/>
        <v>1</v>
      </c>
    </row>
    <row r="356" spans="1:16" ht="14.5" x14ac:dyDescent="0.35">
      <c r="A356" s="12">
        <v>355</v>
      </c>
      <c r="B356" s="13" t="s">
        <v>8</v>
      </c>
      <c r="C356" s="12">
        <v>623</v>
      </c>
      <c r="D356" s="12">
        <v>1970</v>
      </c>
      <c r="E356" s="13" t="s">
        <v>36</v>
      </c>
      <c r="F356" s="13" t="s">
        <v>45</v>
      </c>
      <c r="G356" s="14">
        <v>44624</v>
      </c>
      <c r="H356" s="12">
        <v>114</v>
      </c>
      <c r="I356" t="str">
        <v>Canterbury</v>
      </c>
      <c r="J356" t="str">
        <v>New Zealand</v>
      </c>
      <c r="K356" t="str">
        <v>Trailer</v>
      </c>
      <c r="L356" t="str">
        <v>Standard</v>
      </c>
      <c r="P356">
        <f t="shared" si="5"/>
        <v>2</v>
      </c>
    </row>
    <row r="357" spans="1:16" ht="14.5" x14ac:dyDescent="0.35">
      <c r="A357" s="12">
        <v>356</v>
      </c>
      <c r="B357" s="13" t="s">
        <v>8</v>
      </c>
      <c r="C357" s="12">
        <v>623</v>
      </c>
      <c r="D357" s="12">
        <v>2020</v>
      </c>
      <c r="E357" s="13" t="s">
        <v>53</v>
      </c>
      <c r="F357" s="13" t="s">
        <v>10</v>
      </c>
      <c r="G357" s="14">
        <v>44624</v>
      </c>
      <c r="H357" s="12">
        <v>108</v>
      </c>
      <c r="I357" t="str">
        <v>Manawatū-Whanganui</v>
      </c>
      <c r="J357" t="str">
        <v>New Zealand</v>
      </c>
      <c r="K357" t="str">
        <v>Trailer</v>
      </c>
      <c r="L357" t="str">
        <v>Standard</v>
      </c>
      <c r="P357">
        <f t="shared" si="5"/>
        <v>2</v>
      </c>
    </row>
    <row r="358" spans="1:16" ht="14.5" x14ac:dyDescent="0.35">
      <c r="A358" s="12">
        <v>357</v>
      </c>
      <c r="B358" s="13" t="s">
        <v>8</v>
      </c>
      <c r="C358" s="12">
        <v>623</v>
      </c>
      <c r="D358" s="12">
        <v>2020</v>
      </c>
      <c r="E358" s="13" t="s">
        <v>243</v>
      </c>
      <c r="F358" s="13" t="s">
        <v>10</v>
      </c>
      <c r="G358" s="15">
        <v>44633</v>
      </c>
      <c r="H358" s="12">
        <v>103</v>
      </c>
      <c r="I358" t="str">
        <v>Waikato</v>
      </c>
      <c r="J358" t="str">
        <v>New Zealand</v>
      </c>
      <c r="K358" t="str">
        <v>Trailer</v>
      </c>
      <c r="L358" t="str">
        <v>Standard</v>
      </c>
      <c r="P358">
        <f t="shared" si="5"/>
        <v>4</v>
      </c>
    </row>
    <row r="359" spans="1:16" ht="14.5" x14ac:dyDescent="0.35">
      <c r="A359" s="12">
        <v>358</v>
      </c>
      <c r="B359" s="13" t="s">
        <v>8</v>
      </c>
      <c r="C359" s="12">
        <v>623</v>
      </c>
      <c r="D359" s="12">
        <v>2020</v>
      </c>
      <c r="E359" s="13" t="s">
        <v>244</v>
      </c>
      <c r="F359" s="13" t="s">
        <v>10</v>
      </c>
      <c r="G359" s="15">
        <v>44633</v>
      </c>
      <c r="H359" s="12">
        <v>103</v>
      </c>
      <c r="I359" t="str">
        <v>Waikato</v>
      </c>
      <c r="J359" t="str">
        <v>New Zealand</v>
      </c>
      <c r="K359" t="str">
        <v>Trailer</v>
      </c>
      <c r="L359" t="str">
        <v>Standard</v>
      </c>
      <c r="P359">
        <f t="shared" si="5"/>
        <v>4</v>
      </c>
    </row>
    <row r="360" spans="1:16" ht="14.5" x14ac:dyDescent="0.35">
      <c r="A360" s="12">
        <v>359</v>
      </c>
      <c r="B360" s="13" t="s">
        <v>8</v>
      </c>
      <c r="C360" s="12">
        <v>623</v>
      </c>
      <c r="D360" s="12">
        <v>2020</v>
      </c>
      <c r="E360" s="13" t="s">
        <v>23</v>
      </c>
      <c r="F360" s="13" t="s">
        <v>18</v>
      </c>
      <c r="G360" s="15">
        <v>44633</v>
      </c>
      <c r="H360" s="12">
        <v>102</v>
      </c>
      <c r="I360" t="str">
        <v>Auckland</v>
      </c>
      <c r="J360" t="str">
        <v>New Zealand</v>
      </c>
      <c r="K360" t="str">
        <v>Trailer</v>
      </c>
      <c r="L360" t="str">
        <v>Standard</v>
      </c>
      <c r="P360">
        <f t="shared" si="5"/>
        <v>4</v>
      </c>
    </row>
    <row r="361" spans="1:16" ht="14.5" x14ac:dyDescent="0.35">
      <c r="A361" s="12">
        <v>360</v>
      </c>
      <c r="B361" s="13" t="s">
        <v>37</v>
      </c>
      <c r="C361" s="12">
        <v>623</v>
      </c>
      <c r="D361" s="12">
        <v>2020</v>
      </c>
      <c r="E361" s="13" t="s">
        <v>245</v>
      </c>
      <c r="F361" s="13" t="s">
        <v>45</v>
      </c>
      <c r="G361" s="15">
        <v>44633</v>
      </c>
      <c r="H361" s="12">
        <v>107</v>
      </c>
      <c r="I361" t="str">
        <v>Taranaki</v>
      </c>
      <c r="J361" t="str">
        <v>New Zealand</v>
      </c>
      <c r="K361" t="str">
        <v>Trailer</v>
      </c>
      <c r="L361" t="str">
        <v>Standard</v>
      </c>
      <c r="P361">
        <f t="shared" si="5"/>
        <v>4</v>
      </c>
    </row>
    <row r="362" spans="1:16" ht="14.5" x14ac:dyDescent="0.35">
      <c r="A362" s="12">
        <v>361</v>
      </c>
      <c r="B362" s="13" t="s">
        <v>16</v>
      </c>
      <c r="C362" s="12">
        <v>611</v>
      </c>
      <c r="D362" s="12">
        <v>2009</v>
      </c>
      <c r="E362" s="13" t="s">
        <v>246</v>
      </c>
      <c r="F362" s="13" t="s">
        <v>28</v>
      </c>
      <c r="G362" s="15">
        <v>44633</v>
      </c>
      <c r="H362" s="12">
        <v>103</v>
      </c>
      <c r="I362" t="str">
        <v>Waikato</v>
      </c>
      <c r="J362" t="str">
        <v>New Zealand</v>
      </c>
      <c r="K362" t="str">
        <v>Suzuki</v>
      </c>
      <c r="L362" t="str">
        <v>Standard</v>
      </c>
      <c r="P362">
        <f t="shared" si="5"/>
        <v>1</v>
      </c>
    </row>
    <row r="363" spans="1:16" ht="14.5" x14ac:dyDescent="0.35">
      <c r="A363" s="12">
        <v>362</v>
      </c>
      <c r="B363" s="13" t="s">
        <v>8</v>
      </c>
      <c r="C363" s="12">
        <v>623</v>
      </c>
      <c r="D363" s="12">
        <v>1998</v>
      </c>
      <c r="E363" s="13" t="s">
        <v>247</v>
      </c>
      <c r="F363" s="13" t="s">
        <v>28</v>
      </c>
      <c r="G363" s="15">
        <v>44634</v>
      </c>
      <c r="H363" s="12">
        <v>109</v>
      </c>
      <c r="I363" t="str">
        <v>Wellington</v>
      </c>
      <c r="J363" t="str">
        <v>New Zealand</v>
      </c>
      <c r="K363" t="str">
        <v>Trailer</v>
      </c>
      <c r="L363" t="str">
        <v>Standard</v>
      </c>
      <c r="P363">
        <f t="shared" si="5"/>
        <v>2</v>
      </c>
    </row>
    <row r="364" spans="1:16" ht="14.5" x14ac:dyDescent="0.35">
      <c r="A364" s="12">
        <v>363</v>
      </c>
      <c r="B364" s="13" t="s">
        <v>8</v>
      </c>
      <c r="C364" s="12">
        <v>623</v>
      </c>
      <c r="D364" s="12">
        <v>2020</v>
      </c>
      <c r="E364" s="13" t="s">
        <v>58</v>
      </c>
      <c r="F364" s="13" t="s">
        <v>45</v>
      </c>
      <c r="G364" s="15">
        <v>44634</v>
      </c>
      <c r="H364" s="12">
        <v>102</v>
      </c>
      <c r="I364" t="str">
        <v>Auckland</v>
      </c>
      <c r="J364" t="str">
        <v>New Zealand</v>
      </c>
      <c r="K364" t="str">
        <v>Trailer</v>
      </c>
      <c r="L364" t="str">
        <v>Standard</v>
      </c>
      <c r="P364">
        <f t="shared" si="5"/>
        <v>2</v>
      </c>
    </row>
    <row r="365" spans="1:16" ht="14.5" x14ac:dyDescent="0.35">
      <c r="A365" s="12">
        <v>364</v>
      </c>
      <c r="B365" s="13" t="s">
        <v>8</v>
      </c>
      <c r="C365" s="12">
        <v>623</v>
      </c>
      <c r="D365" s="12">
        <v>2020</v>
      </c>
      <c r="E365" s="13" t="s">
        <v>57</v>
      </c>
      <c r="F365" s="13" t="s">
        <v>18</v>
      </c>
      <c r="G365" s="15">
        <v>44635</v>
      </c>
      <c r="H365" s="12">
        <v>104</v>
      </c>
      <c r="I365" t="str">
        <v>Bay of Plenty</v>
      </c>
      <c r="J365" t="str">
        <v>New Zealand</v>
      </c>
      <c r="K365" t="str">
        <v>Trailer</v>
      </c>
      <c r="L365" t="str">
        <v>Standard</v>
      </c>
      <c r="P365">
        <f t="shared" si="5"/>
        <v>2</v>
      </c>
    </row>
    <row r="366" spans="1:16" ht="14.5" x14ac:dyDescent="0.35">
      <c r="A366" s="12">
        <v>365</v>
      </c>
      <c r="B366" s="13" t="s">
        <v>25</v>
      </c>
      <c r="C366" s="12">
        <v>611</v>
      </c>
      <c r="D366" s="12">
        <v>2007</v>
      </c>
      <c r="E366" s="13" t="s">
        <v>248</v>
      </c>
      <c r="F366" s="13" t="s">
        <v>18</v>
      </c>
      <c r="G366" s="15">
        <v>44635</v>
      </c>
      <c r="H366" s="12">
        <v>102</v>
      </c>
      <c r="I366" t="str">
        <v>Auckland</v>
      </c>
      <c r="J366" t="str">
        <v>New Zealand</v>
      </c>
      <c r="K366" t="str">
        <v>Suzuki</v>
      </c>
      <c r="L366" t="str">
        <v>Standard</v>
      </c>
      <c r="P366">
        <f t="shared" si="5"/>
        <v>1</v>
      </c>
    </row>
    <row r="367" spans="1:16" ht="14.5" x14ac:dyDescent="0.35">
      <c r="A367" s="12">
        <v>366</v>
      </c>
      <c r="B367" s="13" t="s">
        <v>8</v>
      </c>
      <c r="C367" s="12">
        <v>623</v>
      </c>
      <c r="D367" s="12">
        <v>2020</v>
      </c>
      <c r="E367" s="13" t="s">
        <v>249</v>
      </c>
      <c r="F367" s="13" t="s">
        <v>18</v>
      </c>
      <c r="G367" s="15">
        <v>44635</v>
      </c>
      <c r="H367" s="12">
        <v>114</v>
      </c>
      <c r="I367" t="str">
        <v>Canterbury</v>
      </c>
      <c r="J367" t="str">
        <v>New Zealand</v>
      </c>
      <c r="K367" t="str">
        <v>Trailer</v>
      </c>
      <c r="L367" t="str">
        <v>Standard</v>
      </c>
      <c r="P367">
        <f t="shared" si="5"/>
        <v>2</v>
      </c>
    </row>
    <row r="368" spans="1:16" ht="14.5" x14ac:dyDescent="0.35">
      <c r="A368" s="12">
        <v>367</v>
      </c>
      <c r="B368" s="13" t="s">
        <v>8</v>
      </c>
      <c r="C368" s="12">
        <v>616</v>
      </c>
      <c r="D368" s="12">
        <v>2020</v>
      </c>
      <c r="E368" s="13" t="s">
        <v>33</v>
      </c>
      <c r="F368" s="13" t="s">
        <v>10</v>
      </c>
      <c r="G368" s="15">
        <v>44635</v>
      </c>
      <c r="H368" s="12">
        <v>105</v>
      </c>
      <c r="I368" t="str">
        <v>Gisborne</v>
      </c>
      <c r="J368" t="str">
        <v>New Zealand</v>
      </c>
      <c r="K368" t="str">
        <v>Titan</v>
      </c>
      <c r="L368" t="str">
        <v>Standard</v>
      </c>
      <c r="P368">
        <f t="shared" si="5"/>
        <v>1</v>
      </c>
    </row>
    <row r="369" spans="1:16" ht="14.5" x14ac:dyDescent="0.35">
      <c r="A369" s="12">
        <v>368</v>
      </c>
      <c r="B369" s="13" t="s">
        <v>16</v>
      </c>
      <c r="C369" s="12">
        <v>545</v>
      </c>
      <c r="D369" s="12">
        <v>2006</v>
      </c>
      <c r="E369" s="13" t="s">
        <v>250</v>
      </c>
      <c r="F369" s="13" t="s">
        <v>18</v>
      </c>
      <c r="G369" s="15">
        <v>44636</v>
      </c>
      <c r="H369" s="12">
        <v>102</v>
      </c>
      <c r="I369" t="str">
        <v>Auckland</v>
      </c>
      <c r="J369" t="str">
        <v>New Zealand</v>
      </c>
      <c r="K369" t="str">
        <v>Harley Davidson</v>
      </c>
      <c r="L369" t="str">
        <v>Standard</v>
      </c>
      <c r="P369">
        <f t="shared" si="5"/>
        <v>1</v>
      </c>
    </row>
    <row r="370" spans="1:16" ht="14.5" x14ac:dyDescent="0.35">
      <c r="A370" s="12">
        <v>369</v>
      </c>
      <c r="B370" s="13" t="s">
        <v>11</v>
      </c>
      <c r="C370" s="12">
        <v>549</v>
      </c>
      <c r="D370" s="12">
        <v>2020</v>
      </c>
      <c r="E370" s="13" t="s">
        <v>251</v>
      </c>
      <c r="F370" s="13" t="s">
        <v>10</v>
      </c>
      <c r="G370" s="15">
        <v>44636</v>
      </c>
      <c r="H370" s="12">
        <v>101</v>
      </c>
      <c r="I370" t="str">
        <v>Northland</v>
      </c>
      <c r="J370" t="str">
        <v>New Zealand</v>
      </c>
      <c r="K370" t="str">
        <v>Homebuilt</v>
      </c>
      <c r="L370" t="str">
        <v>Standard</v>
      </c>
      <c r="P370">
        <f t="shared" si="5"/>
        <v>1</v>
      </c>
    </row>
    <row r="371" spans="1:16" ht="14.5" x14ac:dyDescent="0.35">
      <c r="A371" s="12">
        <v>370</v>
      </c>
      <c r="B371" s="13" t="s">
        <v>61</v>
      </c>
      <c r="C371" s="12">
        <v>519</v>
      </c>
      <c r="D371" s="12">
        <v>1980</v>
      </c>
      <c r="E371" s="13" t="s">
        <v>252</v>
      </c>
      <c r="F371" s="13" t="s">
        <v>32</v>
      </c>
      <c r="G371" s="15">
        <v>44636</v>
      </c>
      <c r="H371" s="12">
        <v>116</v>
      </c>
      <c r="I371" t="str">
        <v>Southland</v>
      </c>
      <c r="J371" t="str">
        <v>New Zealand</v>
      </c>
      <c r="K371" t="str">
        <v>Caravan</v>
      </c>
      <c r="L371" t="str">
        <v>Standard</v>
      </c>
      <c r="P371">
        <f t="shared" si="5"/>
        <v>1</v>
      </c>
    </row>
    <row r="372" spans="1:16" ht="14.5" x14ac:dyDescent="0.35">
      <c r="A372" s="12">
        <v>371</v>
      </c>
      <c r="B372" s="13" t="s">
        <v>8</v>
      </c>
      <c r="C372" s="12">
        <v>623</v>
      </c>
      <c r="D372" s="12">
        <v>2020</v>
      </c>
      <c r="E372" s="13" t="s">
        <v>253</v>
      </c>
      <c r="F372" s="13" t="s">
        <v>10</v>
      </c>
      <c r="G372" s="15">
        <v>44637</v>
      </c>
      <c r="H372" s="12">
        <v>103</v>
      </c>
      <c r="I372" t="str">
        <v>Waikato</v>
      </c>
      <c r="J372" t="str">
        <v>New Zealand</v>
      </c>
      <c r="K372" t="str">
        <v>Trailer</v>
      </c>
      <c r="L372" t="str">
        <v>Standard</v>
      </c>
      <c r="P372">
        <f t="shared" si="5"/>
        <v>2</v>
      </c>
    </row>
    <row r="373" spans="1:16" ht="14.5" x14ac:dyDescent="0.35">
      <c r="A373" s="12">
        <v>372</v>
      </c>
      <c r="B373" s="13" t="s">
        <v>8</v>
      </c>
      <c r="C373" s="12">
        <v>623</v>
      </c>
      <c r="D373" s="12">
        <v>2020</v>
      </c>
      <c r="E373" s="13" t="s">
        <v>100</v>
      </c>
      <c r="F373" s="13" t="s">
        <v>10</v>
      </c>
      <c r="G373" s="15">
        <v>44637</v>
      </c>
      <c r="H373" s="12">
        <v>102</v>
      </c>
      <c r="I373" t="str">
        <v>Auckland</v>
      </c>
      <c r="J373" t="str">
        <v>New Zealand</v>
      </c>
      <c r="K373" t="str">
        <v>Trailer</v>
      </c>
      <c r="L373" t="str">
        <v>Standard</v>
      </c>
      <c r="P373">
        <f t="shared" si="5"/>
        <v>2</v>
      </c>
    </row>
    <row r="374" spans="1:16" ht="14.5" x14ac:dyDescent="0.35">
      <c r="A374" s="12">
        <v>373</v>
      </c>
      <c r="B374" s="13" t="s">
        <v>16</v>
      </c>
      <c r="C374" s="12">
        <v>611</v>
      </c>
      <c r="D374" s="12">
        <v>2003</v>
      </c>
      <c r="E374" s="13" t="s">
        <v>254</v>
      </c>
      <c r="F374" s="13" t="s">
        <v>28</v>
      </c>
      <c r="G374" s="15">
        <v>44637</v>
      </c>
      <c r="H374" s="12">
        <v>102</v>
      </c>
      <c r="I374" t="str">
        <v>Auckland</v>
      </c>
      <c r="J374" t="str">
        <v>New Zealand</v>
      </c>
      <c r="K374" t="str">
        <v>Suzuki</v>
      </c>
      <c r="L374" t="str">
        <v>Standard</v>
      </c>
      <c r="P374">
        <f t="shared" si="5"/>
        <v>1</v>
      </c>
    </row>
    <row r="375" spans="1:16" ht="14.5" x14ac:dyDescent="0.35">
      <c r="A375" s="12">
        <v>374</v>
      </c>
      <c r="B375" s="13" t="s">
        <v>16</v>
      </c>
      <c r="C375" s="12">
        <v>550</v>
      </c>
      <c r="D375" s="12">
        <v>1999</v>
      </c>
      <c r="E375" s="13" t="s">
        <v>97</v>
      </c>
      <c r="F375" s="13" t="s">
        <v>69</v>
      </c>
      <c r="G375" s="15">
        <v>44638</v>
      </c>
      <c r="H375" s="12">
        <v>102</v>
      </c>
      <c r="I375" t="str">
        <v>Auckland</v>
      </c>
      <c r="J375" t="str">
        <v>New Zealand</v>
      </c>
      <c r="K375" t="str">
        <v>Honda</v>
      </c>
      <c r="L375" t="str">
        <v>Standard</v>
      </c>
      <c r="P375">
        <f t="shared" si="5"/>
        <v>1</v>
      </c>
    </row>
    <row r="376" spans="1:16" ht="14.5" x14ac:dyDescent="0.35">
      <c r="A376" s="12">
        <v>375</v>
      </c>
      <c r="B376" s="13" t="s">
        <v>11</v>
      </c>
      <c r="C376" s="12">
        <v>623</v>
      </c>
      <c r="D376" s="12">
        <v>1996</v>
      </c>
      <c r="E376" s="13" t="s">
        <v>244</v>
      </c>
      <c r="F376" s="13" t="s">
        <v>45</v>
      </c>
      <c r="G376" s="15">
        <v>44638</v>
      </c>
      <c r="H376" s="12">
        <v>101</v>
      </c>
      <c r="I376" t="str">
        <v>Northland</v>
      </c>
      <c r="J376" t="str">
        <v>New Zealand</v>
      </c>
      <c r="K376" t="str">
        <v>Trailer</v>
      </c>
      <c r="L376" t="str">
        <v>Standard</v>
      </c>
      <c r="P376">
        <f t="shared" si="5"/>
        <v>2</v>
      </c>
    </row>
    <row r="377" spans="1:16" ht="14.5" x14ac:dyDescent="0.35">
      <c r="A377" s="12">
        <v>376</v>
      </c>
      <c r="B377" s="13" t="s">
        <v>8</v>
      </c>
      <c r="C377" s="12">
        <v>623</v>
      </c>
      <c r="D377" s="12">
        <v>2020</v>
      </c>
      <c r="E377" s="13" t="s">
        <v>58</v>
      </c>
      <c r="F377" s="13" t="s">
        <v>45</v>
      </c>
      <c r="G377" s="15">
        <v>44638</v>
      </c>
      <c r="H377" s="12">
        <v>102</v>
      </c>
      <c r="I377" t="str">
        <v>Auckland</v>
      </c>
      <c r="J377" t="str">
        <v>New Zealand</v>
      </c>
      <c r="K377" t="str">
        <v>Trailer</v>
      </c>
      <c r="L377" t="str">
        <v>Standard</v>
      </c>
      <c r="P377">
        <f t="shared" si="5"/>
        <v>2</v>
      </c>
    </row>
    <row r="378" spans="1:16" ht="14.5" x14ac:dyDescent="0.35">
      <c r="A378" s="12">
        <v>377</v>
      </c>
      <c r="B378" s="13" t="s">
        <v>8</v>
      </c>
      <c r="C378" s="12">
        <v>549</v>
      </c>
      <c r="D378" s="12">
        <v>2020</v>
      </c>
      <c r="E378" s="13" t="s">
        <v>46</v>
      </c>
      <c r="F378" s="13" t="s">
        <v>18</v>
      </c>
      <c r="G378" s="15">
        <v>44638</v>
      </c>
      <c r="H378" s="12">
        <v>115</v>
      </c>
      <c r="I378" t="str">
        <v>Otago</v>
      </c>
      <c r="J378" t="str">
        <v>New Zealand</v>
      </c>
      <c r="K378" t="str">
        <v>Homebuilt</v>
      </c>
      <c r="L378" t="str">
        <v>Standard</v>
      </c>
      <c r="P378">
        <f t="shared" si="5"/>
        <v>1</v>
      </c>
    </row>
    <row r="379" spans="1:16" ht="14.5" x14ac:dyDescent="0.35">
      <c r="A379" s="12">
        <v>378</v>
      </c>
      <c r="B379" s="13" t="s">
        <v>16</v>
      </c>
      <c r="C379" s="12">
        <v>611</v>
      </c>
      <c r="D379" s="12">
        <v>2008</v>
      </c>
      <c r="E379" s="13" t="s">
        <v>255</v>
      </c>
      <c r="F379" s="13" t="s">
        <v>18</v>
      </c>
      <c r="G379" s="15">
        <v>44639</v>
      </c>
      <c r="H379" s="12">
        <v>102</v>
      </c>
      <c r="I379" t="str">
        <v>Auckland</v>
      </c>
      <c r="J379" t="str">
        <v>New Zealand</v>
      </c>
      <c r="K379" t="str">
        <v>Suzuki</v>
      </c>
      <c r="L379" t="str">
        <v>Standard</v>
      </c>
      <c r="P379">
        <f t="shared" si="5"/>
        <v>2</v>
      </c>
    </row>
    <row r="380" spans="1:16" ht="14.5" x14ac:dyDescent="0.35">
      <c r="A380" s="12">
        <v>379</v>
      </c>
      <c r="B380" s="13" t="s">
        <v>16</v>
      </c>
      <c r="C380" s="12">
        <v>611</v>
      </c>
      <c r="D380" s="12">
        <v>2009</v>
      </c>
      <c r="E380" s="13" t="s">
        <v>218</v>
      </c>
      <c r="F380" s="13" t="s">
        <v>28</v>
      </c>
      <c r="G380" s="15">
        <v>44639</v>
      </c>
      <c r="H380" s="12">
        <v>114</v>
      </c>
      <c r="I380" t="str">
        <v>Canterbury</v>
      </c>
      <c r="J380" t="str">
        <v>New Zealand</v>
      </c>
      <c r="K380" t="str">
        <v>Suzuki</v>
      </c>
      <c r="L380" t="str">
        <v>Standard</v>
      </c>
      <c r="P380">
        <f t="shared" si="5"/>
        <v>2</v>
      </c>
    </row>
    <row r="381" spans="1:16" ht="14.5" x14ac:dyDescent="0.35">
      <c r="A381" s="12">
        <v>380</v>
      </c>
      <c r="B381" s="13" t="s">
        <v>8</v>
      </c>
      <c r="C381" s="12">
        <v>623</v>
      </c>
      <c r="D381" s="12">
        <v>2020</v>
      </c>
      <c r="E381" s="13" t="s">
        <v>20</v>
      </c>
      <c r="F381" s="13" t="s">
        <v>10</v>
      </c>
      <c r="G381" s="15">
        <v>44639</v>
      </c>
      <c r="H381" s="12">
        <v>102</v>
      </c>
      <c r="I381" t="str">
        <v>Auckland</v>
      </c>
      <c r="J381" t="str">
        <v>New Zealand</v>
      </c>
      <c r="K381" t="str">
        <v>Trailer</v>
      </c>
      <c r="L381" t="str">
        <v>Standard</v>
      </c>
      <c r="P381">
        <f t="shared" si="5"/>
        <v>2</v>
      </c>
    </row>
    <row r="382" spans="1:16" ht="14.5" x14ac:dyDescent="0.35">
      <c r="A382" s="12">
        <v>381</v>
      </c>
      <c r="B382" s="13" t="s">
        <v>8</v>
      </c>
      <c r="C382" s="12">
        <v>549</v>
      </c>
      <c r="D382" s="12">
        <v>1998</v>
      </c>
      <c r="E382" s="13" t="s">
        <v>33</v>
      </c>
      <c r="F382" s="13" t="s">
        <v>45</v>
      </c>
      <c r="G382" s="15">
        <v>44639</v>
      </c>
      <c r="H382" s="12">
        <v>102</v>
      </c>
      <c r="I382" t="str">
        <v>Auckland</v>
      </c>
      <c r="J382" t="str">
        <v>New Zealand</v>
      </c>
      <c r="K382" t="str">
        <v>Homebuilt</v>
      </c>
      <c r="L382" t="str">
        <v>Standard</v>
      </c>
      <c r="P382">
        <f t="shared" si="5"/>
        <v>1</v>
      </c>
    </row>
    <row r="383" spans="1:16" ht="14.5" x14ac:dyDescent="0.35">
      <c r="A383" s="12">
        <v>382</v>
      </c>
      <c r="B383" s="13" t="s">
        <v>8</v>
      </c>
      <c r="C383" s="12">
        <v>623</v>
      </c>
      <c r="D383" s="12">
        <v>1974</v>
      </c>
      <c r="E383" s="13" t="s">
        <v>256</v>
      </c>
      <c r="F383" s="13" t="s">
        <v>45</v>
      </c>
      <c r="G383" s="15">
        <v>44639</v>
      </c>
      <c r="H383" s="12">
        <v>114</v>
      </c>
      <c r="I383" t="str">
        <v>Canterbury</v>
      </c>
      <c r="J383" t="str">
        <v>New Zealand</v>
      </c>
      <c r="K383" t="str">
        <v>Trailer</v>
      </c>
      <c r="L383" t="str">
        <v>Standard</v>
      </c>
      <c r="P383">
        <f t="shared" si="5"/>
        <v>2</v>
      </c>
    </row>
    <row r="384" spans="1:16" ht="14.5" x14ac:dyDescent="0.35">
      <c r="A384" s="12">
        <v>383</v>
      </c>
      <c r="B384" s="13" t="s">
        <v>11</v>
      </c>
      <c r="C384" s="12">
        <v>623</v>
      </c>
      <c r="D384" s="12">
        <v>2020</v>
      </c>
      <c r="E384" s="13" t="s">
        <v>20</v>
      </c>
      <c r="F384" s="13" t="s">
        <v>10</v>
      </c>
      <c r="G384" s="15">
        <v>44640</v>
      </c>
      <c r="H384" s="12">
        <v>102</v>
      </c>
      <c r="I384" t="str">
        <v>Auckland</v>
      </c>
      <c r="J384" t="str">
        <v>New Zealand</v>
      </c>
      <c r="K384" t="str">
        <v>Trailer</v>
      </c>
      <c r="L384" t="str">
        <v>Standard</v>
      </c>
      <c r="P384">
        <f t="shared" si="5"/>
        <v>3</v>
      </c>
    </row>
    <row r="385" spans="1:16" ht="14.5" x14ac:dyDescent="0.35">
      <c r="A385" s="12">
        <v>384</v>
      </c>
      <c r="B385" s="13" t="s">
        <v>8</v>
      </c>
      <c r="C385" s="12">
        <v>623</v>
      </c>
      <c r="D385" s="12">
        <v>2020</v>
      </c>
      <c r="E385" s="13" t="s">
        <v>257</v>
      </c>
      <c r="F385" s="13" t="s">
        <v>10</v>
      </c>
      <c r="G385" s="15">
        <v>44640</v>
      </c>
      <c r="H385" s="12">
        <v>105</v>
      </c>
      <c r="I385" t="str">
        <v>Gisborne</v>
      </c>
      <c r="J385" t="str">
        <v>New Zealand</v>
      </c>
      <c r="K385" t="str">
        <v>Trailer</v>
      </c>
      <c r="L385" t="str">
        <v>Standard</v>
      </c>
      <c r="P385">
        <f t="shared" si="5"/>
        <v>3</v>
      </c>
    </row>
    <row r="386" spans="1:16" ht="14.5" x14ac:dyDescent="0.35">
      <c r="A386" s="12">
        <v>385</v>
      </c>
      <c r="B386" s="13" t="s">
        <v>8</v>
      </c>
      <c r="C386" s="12">
        <v>623</v>
      </c>
      <c r="D386" s="12">
        <v>2020</v>
      </c>
      <c r="E386" s="13" t="s">
        <v>57</v>
      </c>
      <c r="F386" s="13" t="s">
        <v>45</v>
      </c>
      <c r="G386" s="15">
        <v>44640</v>
      </c>
      <c r="H386" s="12">
        <v>114</v>
      </c>
      <c r="I386" t="str">
        <v>Canterbury</v>
      </c>
      <c r="J386" t="str">
        <v>New Zealand</v>
      </c>
      <c r="K386" t="str">
        <v>Trailer</v>
      </c>
      <c r="L386" t="str">
        <v>Standard</v>
      </c>
      <c r="P386">
        <f t="shared" si="5"/>
        <v>3</v>
      </c>
    </row>
    <row r="387" spans="1:16" ht="14.5" x14ac:dyDescent="0.35">
      <c r="A387" s="12">
        <v>386</v>
      </c>
      <c r="B387" s="13" t="s">
        <v>8</v>
      </c>
      <c r="C387" s="12">
        <v>506</v>
      </c>
      <c r="D387" s="12">
        <v>2020</v>
      </c>
      <c r="E387" s="13" t="s">
        <v>258</v>
      </c>
      <c r="F387" s="13" t="s">
        <v>66</v>
      </c>
      <c r="G387" s="15">
        <v>44641</v>
      </c>
      <c r="H387" s="12">
        <v>114</v>
      </c>
      <c r="I387" t="str">
        <v>Canterbury</v>
      </c>
      <c r="J387" t="str">
        <v>New Zealand</v>
      </c>
      <c r="K387" t="str">
        <v>Atlas</v>
      </c>
      <c r="L387" t="str">
        <v>Standard</v>
      </c>
      <c r="P387">
        <f t="shared" ref="P387:P450" si="6">COUNTIFS($G$2:$G$501,G387,$K$2:$K$501,K387)</f>
        <v>1</v>
      </c>
    </row>
    <row r="388" spans="1:16" ht="14.5" x14ac:dyDescent="0.35">
      <c r="A388" s="12">
        <v>387</v>
      </c>
      <c r="B388" s="13" t="s">
        <v>25</v>
      </c>
      <c r="C388" s="12">
        <v>550</v>
      </c>
      <c r="D388" s="12">
        <v>2005</v>
      </c>
      <c r="E388" s="13" t="s">
        <v>259</v>
      </c>
      <c r="F388" s="13" t="s">
        <v>18</v>
      </c>
      <c r="G388" s="15">
        <v>44641</v>
      </c>
      <c r="H388" s="12">
        <v>114</v>
      </c>
      <c r="I388" t="str">
        <v>Canterbury</v>
      </c>
      <c r="J388" t="str">
        <v>New Zealand</v>
      </c>
      <c r="K388" t="str">
        <v>Honda</v>
      </c>
      <c r="L388" t="str">
        <v>Standard</v>
      </c>
      <c r="P388">
        <f t="shared" si="6"/>
        <v>1</v>
      </c>
    </row>
    <row r="389" spans="1:16" ht="14.5" x14ac:dyDescent="0.35">
      <c r="A389" s="12">
        <v>388</v>
      </c>
      <c r="B389" s="13" t="s">
        <v>16</v>
      </c>
      <c r="C389" s="12">
        <v>545</v>
      </c>
      <c r="D389" s="12">
        <v>2006</v>
      </c>
      <c r="E389" s="13" t="s">
        <v>260</v>
      </c>
      <c r="F389" s="13" t="s">
        <v>18</v>
      </c>
      <c r="G389" s="15">
        <v>44641</v>
      </c>
      <c r="H389" s="12">
        <v>102</v>
      </c>
      <c r="I389" t="str">
        <v>Auckland</v>
      </c>
      <c r="J389" t="str">
        <v>New Zealand</v>
      </c>
      <c r="K389" t="str">
        <v>Harley Davidson</v>
      </c>
      <c r="L389" t="str">
        <v>Standard</v>
      </c>
      <c r="P389">
        <f t="shared" si="6"/>
        <v>1</v>
      </c>
    </row>
    <row r="390" spans="1:16" ht="14.5" x14ac:dyDescent="0.35">
      <c r="A390" s="12">
        <v>389</v>
      </c>
      <c r="B390" s="13" t="s">
        <v>8</v>
      </c>
      <c r="C390" s="12">
        <v>549</v>
      </c>
      <c r="D390" s="12">
        <v>2020</v>
      </c>
      <c r="E390" s="13" t="s">
        <v>46</v>
      </c>
      <c r="F390" s="13" t="s">
        <v>10</v>
      </c>
      <c r="G390" s="15">
        <v>44641</v>
      </c>
      <c r="H390" s="12">
        <v>106</v>
      </c>
      <c r="I390" t="str">
        <v>Hawke's Bay</v>
      </c>
      <c r="J390" t="str">
        <v>New Zealand</v>
      </c>
      <c r="K390" t="str">
        <v>Homebuilt</v>
      </c>
      <c r="L390" t="str">
        <v>Standard</v>
      </c>
      <c r="P390">
        <f t="shared" si="6"/>
        <v>1</v>
      </c>
    </row>
    <row r="391" spans="1:16" ht="14.5" x14ac:dyDescent="0.35">
      <c r="A391" s="12">
        <v>390</v>
      </c>
      <c r="B391" s="13" t="s">
        <v>8</v>
      </c>
      <c r="C391" s="12">
        <v>623</v>
      </c>
      <c r="D391" s="12">
        <v>1980</v>
      </c>
      <c r="E391" s="13" t="s">
        <v>51</v>
      </c>
      <c r="F391" s="13" t="s">
        <v>45</v>
      </c>
      <c r="G391" s="15">
        <v>44641</v>
      </c>
      <c r="H391" s="12">
        <v>108</v>
      </c>
      <c r="I391" t="str">
        <v>Manawatū-Whanganui</v>
      </c>
      <c r="J391" t="str">
        <v>New Zealand</v>
      </c>
      <c r="K391" t="str">
        <v>Trailer</v>
      </c>
      <c r="L391" t="str">
        <v>Standard</v>
      </c>
      <c r="P391">
        <f t="shared" si="6"/>
        <v>1</v>
      </c>
    </row>
    <row r="392" spans="1:16" ht="14.5" x14ac:dyDescent="0.35">
      <c r="A392" s="12">
        <v>391</v>
      </c>
      <c r="B392" s="13" t="s">
        <v>11</v>
      </c>
      <c r="C392" s="12">
        <v>623</v>
      </c>
      <c r="D392" s="12">
        <v>2000</v>
      </c>
      <c r="E392" s="13" t="s">
        <v>261</v>
      </c>
      <c r="F392" s="13" t="s">
        <v>10</v>
      </c>
      <c r="G392" s="15">
        <v>44642</v>
      </c>
      <c r="H392" s="12">
        <v>115</v>
      </c>
      <c r="I392" t="str">
        <v>Otago</v>
      </c>
      <c r="J392" t="str">
        <v>New Zealand</v>
      </c>
      <c r="K392" t="str">
        <v>Trailer</v>
      </c>
      <c r="L392" t="str">
        <v>Standard</v>
      </c>
      <c r="P392">
        <f t="shared" si="6"/>
        <v>2</v>
      </c>
    </row>
    <row r="393" spans="1:16" ht="14.5" x14ac:dyDescent="0.35">
      <c r="A393" s="12">
        <v>392</v>
      </c>
      <c r="B393" s="13" t="s">
        <v>37</v>
      </c>
      <c r="C393" s="12">
        <v>623</v>
      </c>
      <c r="D393" s="12">
        <v>2020</v>
      </c>
      <c r="E393" s="13" t="s">
        <v>262</v>
      </c>
      <c r="F393" s="13" t="s">
        <v>32</v>
      </c>
      <c r="G393" s="15">
        <v>44642</v>
      </c>
      <c r="H393" s="12">
        <v>114</v>
      </c>
      <c r="I393" t="str">
        <v>Canterbury</v>
      </c>
      <c r="J393" t="str">
        <v>New Zealand</v>
      </c>
      <c r="K393" t="str">
        <v>Trailer</v>
      </c>
      <c r="L393" t="str">
        <v>Standard</v>
      </c>
      <c r="P393">
        <f t="shared" si="6"/>
        <v>2</v>
      </c>
    </row>
    <row r="394" spans="1:16" ht="14.5" x14ac:dyDescent="0.35">
      <c r="A394" s="12">
        <v>393</v>
      </c>
      <c r="B394" s="13" t="s">
        <v>8</v>
      </c>
      <c r="C394" s="12">
        <v>623</v>
      </c>
      <c r="D394" s="12">
        <v>2020</v>
      </c>
      <c r="E394" s="13" t="s">
        <v>263</v>
      </c>
      <c r="F394" s="13" t="s">
        <v>10</v>
      </c>
      <c r="G394" s="15">
        <v>44643</v>
      </c>
      <c r="H394" s="12">
        <v>114</v>
      </c>
      <c r="I394" t="str">
        <v>Canterbury</v>
      </c>
      <c r="J394" t="str">
        <v>New Zealand</v>
      </c>
      <c r="K394" t="str">
        <v>Trailer</v>
      </c>
      <c r="L394" t="str">
        <v>Standard</v>
      </c>
      <c r="P394">
        <f t="shared" si="6"/>
        <v>1</v>
      </c>
    </row>
    <row r="395" spans="1:16" ht="14.5" x14ac:dyDescent="0.35">
      <c r="A395" s="12">
        <v>394</v>
      </c>
      <c r="B395" s="13" t="s">
        <v>16</v>
      </c>
      <c r="C395" s="12">
        <v>611</v>
      </c>
      <c r="D395" s="12">
        <v>2007</v>
      </c>
      <c r="E395" s="13" t="s">
        <v>182</v>
      </c>
      <c r="F395" s="13" t="s">
        <v>28</v>
      </c>
      <c r="G395" s="15">
        <v>44643</v>
      </c>
      <c r="H395" s="12">
        <v>102</v>
      </c>
      <c r="I395" t="str">
        <v>Auckland</v>
      </c>
      <c r="J395" t="str">
        <v>New Zealand</v>
      </c>
      <c r="K395" t="str">
        <v>Suzuki</v>
      </c>
      <c r="L395" t="str">
        <v>Standard</v>
      </c>
      <c r="P395">
        <f t="shared" si="6"/>
        <v>1</v>
      </c>
    </row>
    <row r="396" spans="1:16" ht="14.5" x14ac:dyDescent="0.35">
      <c r="A396" s="12">
        <v>395</v>
      </c>
      <c r="B396" s="13" t="s">
        <v>16</v>
      </c>
      <c r="C396" s="12">
        <v>554</v>
      </c>
      <c r="D396" s="12">
        <v>2007</v>
      </c>
      <c r="E396" s="13" t="s">
        <v>238</v>
      </c>
      <c r="F396" s="13" t="s">
        <v>66</v>
      </c>
      <c r="G396" s="15">
        <v>44644</v>
      </c>
      <c r="H396" s="12">
        <v>106</v>
      </c>
      <c r="I396" t="str">
        <v>Hawke's Bay</v>
      </c>
      <c r="J396" t="str">
        <v>New Zealand</v>
      </c>
      <c r="K396" t="str">
        <v>Hyosung</v>
      </c>
      <c r="L396" t="str">
        <v>Standard</v>
      </c>
      <c r="P396">
        <f t="shared" si="6"/>
        <v>1</v>
      </c>
    </row>
    <row r="397" spans="1:16" ht="14.5" x14ac:dyDescent="0.35">
      <c r="A397" s="12">
        <v>396</v>
      </c>
      <c r="B397" s="13" t="s">
        <v>25</v>
      </c>
      <c r="C397" s="12">
        <v>611</v>
      </c>
      <c r="D397" s="12">
        <v>2009</v>
      </c>
      <c r="E397" s="13" t="s">
        <v>264</v>
      </c>
      <c r="F397" s="13" t="s">
        <v>123</v>
      </c>
      <c r="G397" s="15">
        <v>44644</v>
      </c>
      <c r="H397" s="12">
        <v>102</v>
      </c>
      <c r="I397" t="str">
        <v>Auckland</v>
      </c>
      <c r="J397" t="str">
        <v>New Zealand</v>
      </c>
      <c r="K397" t="str">
        <v>Suzuki</v>
      </c>
      <c r="L397" t="str">
        <v>Standard</v>
      </c>
      <c r="P397">
        <f t="shared" si="6"/>
        <v>1</v>
      </c>
    </row>
    <row r="398" spans="1:16" ht="14.5" x14ac:dyDescent="0.35">
      <c r="A398" s="12">
        <v>397</v>
      </c>
      <c r="B398" s="13" t="s">
        <v>8</v>
      </c>
      <c r="C398" s="12">
        <v>623</v>
      </c>
      <c r="D398" s="12">
        <v>2016</v>
      </c>
      <c r="E398" s="13" t="s">
        <v>265</v>
      </c>
      <c r="F398" s="13" t="s">
        <v>10</v>
      </c>
      <c r="G398" s="15">
        <v>44644</v>
      </c>
      <c r="H398" s="12">
        <v>104</v>
      </c>
      <c r="I398" t="str">
        <v>Bay of Plenty</v>
      </c>
      <c r="J398" t="str">
        <v>New Zealand</v>
      </c>
      <c r="K398" t="str">
        <v>Trailer</v>
      </c>
      <c r="L398" t="str">
        <v>Standard</v>
      </c>
      <c r="P398">
        <f t="shared" si="6"/>
        <v>5</v>
      </c>
    </row>
    <row r="399" spans="1:16" ht="14.5" x14ac:dyDescent="0.35">
      <c r="A399" s="12">
        <v>398</v>
      </c>
      <c r="B399" s="13" t="s">
        <v>8</v>
      </c>
      <c r="C399" s="12">
        <v>623</v>
      </c>
      <c r="D399" s="12">
        <v>2016</v>
      </c>
      <c r="E399" s="13" t="s">
        <v>209</v>
      </c>
      <c r="F399" s="13" t="s">
        <v>10</v>
      </c>
      <c r="G399" s="15">
        <v>44644</v>
      </c>
      <c r="H399" s="12">
        <v>115</v>
      </c>
      <c r="I399" t="str">
        <v>Otago</v>
      </c>
      <c r="J399" t="str">
        <v>New Zealand</v>
      </c>
      <c r="K399" t="str">
        <v>Trailer</v>
      </c>
      <c r="L399" t="str">
        <v>Standard</v>
      </c>
      <c r="P399">
        <f t="shared" si="6"/>
        <v>5</v>
      </c>
    </row>
    <row r="400" spans="1:16" ht="14.5" x14ac:dyDescent="0.35">
      <c r="A400" s="12">
        <v>399</v>
      </c>
      <c r="B400" s="13" t="s">
        <v>8</v>
      </c>
      <c r="C400" s="12">
        <v>623</v>
      </c>
      <c r="D400" s="12">
        <v>2016</v>
      </c>
      <c r="E400" s="13" t="s">
        <v>266</v>
      </c>
      <c r="F400" s="13" t="s">
        <v>10</v>
      </c>
      <c r="G400" s="15">
        <v>44644</v>
      </c>
      <c r="H400" s="12">
        <v>109</v>
      </c>
      <c r="I400" t="str">
        <v>Wellington</v>
      </c>
      <c r="J400" t="str">
        <v>New Zealand</v>
      </c>
      <c r="K400" t="str">
        <v>Trailer</v>
      </c>
      <c r="L400" t="str">
        <v>Standard</v>
      </c>
      <c r="P400">
        <f t="shared" si="6"/>
        <v>5</v>
      </c>
    </row>
    <row r="401" spans="1:16" ht="14.5" x14ac:dyDescent="0.35">
      <c r="A401" s="12">
        <v>400</v>
      </c>
      <c r="B401" s="13" t="s">
        <v>11</v>
      </c>
      <c r="C401" s="12">
        <v>623</v>
      </c>
      <c r="D401" s="12">
        <v>1975</v>
      </c>
      <c r="E401" s="13" t="s">
        <v>118</v>
      </c>
      <c r="F401" s="13" t="s">
        <v>45</v>
      </c>
      <c r="G401" s="15">
        <v>44644</v>
      </c>
      <c r="H401" s="12">
        <v>111</v>
      </c>
      <c r="I401" t="str">
        <v>Nelson</v>
      </c>
      <c r="J401" t="str">
        <v>New Zealand</v>
      </c>
      <c r="K401" t="str">
        <v>Trailer</v>
      </c>
      <c r="L401" t="str">
        <v>Standard</v>
      </c>
      <c r="P401">
        <f t="shared" si="6"/>
        <v>5</v>
      </c>
    </row>
    <row r="402" spans="1:16" ht="14.5" x14ac:dyDescent="0.35">
      <c r="A402" s="12">
        <v>401</v>
      </c>
      <c r="B402" s="13" t="s">
        <v>8</v>
      </c>
      <c r="C402" s="12">
        <v>623</v>
      </c>
      <c r="D402" s="12">
        <v>2011</v>
      </c>
      <c r="E402" s="13" t="s">
        <v>57</v>
      </c>
      <c r="F402" s="13" t="s">
        <v>10</v>
      </c>
      <c r="G402" s="15">
        <v>44644</v>
      </c>
      <c r="H402" s="12">
        <v>101</v>
      </c>
      <c r="I402" t="str">
        <v>Northland</v>
      </c>
      <c r="J402" t="str">
        <v>New Zealand</v>
      </c>
      <c r="K402" t="str">
        <v>Trailer</v>
      </c>
      <c r="L402" t="str">
        <v>Standard</v>
      </c>
      <c r="P402">
        <f t="shared" si="6"/>
        <v>5</v>
      </c>
    </row>
    <row r="403" spans="1:16" ht="14.5" x14ac:dyDescent="0.35">
      <c r="A403" s="12">
        <v>402</v>
      </c>
      <c r="B403" s="13" t="s">
        <v>8</v>
      </c>
      <c r="C403" s="12">
        <v>538</v>
      </c>
      <c r="D403" s="12">
        <v>2017</v>
      </c>
      <c r="E403" s="13" t="s">
        <v>24</v>
      </c>
      <c r="F403" s="13" t="s">
        <v>10</v>
      </c>
      <c r="G403" s="15">
        <v>44644</v>
      </c>
      <c r="H403" s="12">
        <v>102</v>
      </c>
      <c r="I403" t="str">
        <v>Auckland</v>
      </c>
      <c r="J403" t="str">
        <v>New Zealand</v>
      </c>
      <c r="K403" t="str">
        <v>Factory Built</v>
      </c>
      <c r="L403" t="str">
        <v>Standard</v>
      </c>
      <c r="P403">
        <f t="shared" si="6"/>
        <v>1</v>
      </c>
    </row>
    <row r="404" spans="1:16" ht="14.5" x14ac:dyDescent="0.35">
      <c r="A404" s="12">
        <v>403</v>
      </c>
      <c r="B404" s="13" t="s">
        <v>8</v>
      </c>
      <c r="C404" s="12">
        <v>623</v>
      </c>
      <c r="D404" s="12">
        <v>2017</v>
      </c>
      <c r="E404" s="13" t="s">
        <v>267</v>
      </c>
      <c r="F404" s="13" t="s">
        <v>18</v>
      </c>
      <c r="G404" s="15">
        <v>44645</v>
      </c>
      <c r="H404" s="12">
        <v>115</v>
      </c>
      <c r="I404" t="str">
        <v>Otago</v>
      </c>
      <c r="J404" t="str">
        <v>New Zealand</v>
      </c>
      <c r="K404" t="str">
        <v>Trailer</v>
      </c>
      <c r="L404" t="str">
        <v>Standard</v>
      </c>
      <c r="P404">
        <f t="shared" si="6"/>
        <v>3</v>
      </c>
    </row>
    <row r="405" spans="1:16" ht="14.5" x14ac:dyDescent="0.35">
      <c r="A405" s="12">
        <v>404</v>
      </c>
      <c r="B405" s="13" t="s">
        <v>37</v>
      </c>
      <c r="C405" s="12">
        <v>623</v>
      </c>
      <c r="D405" s="12">
        <v>1960</v>
      </c>
      <c r="E405" s="13" t="s">
        <v>36</v>
      </c>
      <c r="F405" s="13" t="s">
        <v>45</v>
      </c>
      <c r="G405" s="15">
        <v>44645</v>
      </c>
      <c r="H405" s="12">
        <v>114</v>
      </c>
      <c r="I405" t="str">
        <v>Canterbury</v>
      </c>
      <c r="J405" t="str">
        <v>New Zealand</v>
      </c>
      <c r="K405" t="str">
        <v>Trailer</v>
      </c>
      <c r="L405" t="str">
        <v>Standard</v>
      </c>
      <c r="P405">
        <f t="shared" si="6"/>
        <v>3</v>
      </c>
    </row>
    <row r="406" spans="1:16" ht="14.5" x14ac:dyDescent="0.35">
      <c r="A406" s="12">
        <v>405</v>
      </c>
      <c r="B406" s="13" t="s">
        <v>8</v>
      </c>
      <c r="C406" s="12">
        <v>623</v>
      </c>
      <c r="D406" s="12">
        <v>2017</v>
      </c>
      <c r="E406" s="13" t="s">
        <v>240</v>
      </c>
      <c r="F406" s="13" t="s">
        <v>10</v>
      </c>
      <c r="G406" s="15">
        <v>44645</v>
      </c>
      <c r="H406" s="12">
        <v>102</v>
      </c>
      <c r="I406" t="str">
        <v>Auckland</v>
      </c>
      <c r="J406" t="str">
        <v>New Zealand</v>
      </c>
      <c r="K406" t="str">
        <v>Trailer</v>
      </c>
      <c r="L406" t="str">
        <v>Standard</v>
      </c>
      <c r="P406">
        <f t="shared" si="6"/>
        <v>3</v>
      </c>
    </row>
    <row r="407" spans="1:16" ht="14.5" x14ac:dyDescent="0.35">
      <c r="A407" s="12">
        <v>406</v>
      </c>
      <c r="B407" s="13" t="s">
        <v>8</v>
      </c>
      <c r="C407" s="12">
        <v>538</v>
      </c>
      <c r="D407" s="12">
        <v>2017</v>
      </c>
      <c r="E407" s="13" t="s">
        <v>193</v>
      </c>
      <c r="F407" s="13" t="s">
        <v>10</v>
      </c>
      <c r="G407" s="15">
        <v>44646</v>
      </c>
      <c r="H407" s="12">
        <v>109</v>
      </c>
      <c r="I407" t="str">
        <v>Wellington</v>
      </c>
      <c r="J407" t="str">
        <v>New Zealand</v>
      </c>
      <c r="K407" t="str">
        <v>Factory Built</v>
      </c>
      <c r="L407" t="str">
        <v>Standard</v>
      </c>
      <c r="P407">
        <f t="shared" si="6"/>
        <v>1</v>
      </c>
    </row>
    <row r="408" spans="1:16" ht="14.5" x14ac:dyDescent="0.35">
      <c r="A408" s="12">
        <v>407</v>
      </c>
      <c r="B408" s="13" t="s">
        <v>8</v>
      </c>
      <c r="C408" s="12">
        <v>616</v>
      </c>
      <c r="D408" s="12">
        <v>2017</v>
      </c>
      <c r="E408" s="13" t="s">
        <v>268</v>
      </c>
      <c r="F408" s="13" t="s">
        <v>10</v>
      </c>
      <c r="G408" s="15">
        <v>44646</v>
      </c>
      <c r="H408" s="12">
        <v>109</v>
      </c>
      <c r="I408" t="str">
        <v>Wellington</v>
      </c>
      <c r="J408" t="str">
        <v>New Zealand</v>
      </c>
      <c r="K408" t="str">
        <v>Titan</v>
      </c>
      <c r="L408" t="str">
        <v>Standard</v>
      </c>
      <c r="P408">
        <f t="shared" si="6"/>
        <v>1</v>
      </c>
    </row>
    <row r="409" spans="1:16" ht="14.5" x14ac:dyDescent="0.35">
      <c r="A409" s="12">
        <v>408</v>
      </c>
      <c r="B409" s="13" t="s">
        <v>8</v>
      </c>
      <c r="C409" s="12">
        <v>623</v>
      </c>
      <c r="D409" s="12">
        <v>2017</v>
      </c>
      <c r="E409" s="13" t="s">
        <v>269</v>
      </c>
      <c r="F409" s="13" t="s">
        <v>10</v>
      </c>
      <c r="G409" s="15">
        <v>44646</v>
      </c>
      <c r="H409" s="12">
        <v>107</v>
      </c>
      <c r="I409" t="str">
        <v>Taranaki</v>
      </c>
      <c r="J409" t="str">
        <v>New Zealand</v>
      </c>
      <c r="K409" t="str">
        <v>Trailer</v>
      </c>
      <c r="L409" t="str">
        <v>Standard</v>
      </c>
      <c r="P409">
        <f t="shared" si="6"/>
        <v>1</v>
      </c>
    </row>
    <row r="410" spans="1:16" ht="14.5" x14ac:dyDescent="0.35">
      <c r="A410" s="12">
        <v>409</v>
      </c>
      <c r="B410" s="13" t="s">
        <v>11</v>
      </c>
      <c r="C410" s="12">
        <v>623</v>
      </c>
      <c r="D410" s="12">
        <v>2017</v>
      </c>
      <c r="E410" s="13" t="s">
        <v>270</v>
      </c>
      <c r="F410" s="13" t="s">
        <v>10</v>
      </c>
      <c r="G410" s="15">
        <v>44647</v>
      </c>
      <c r="H410" s="12">
        <v>106</v>
      </c>
      <c r="I410" t="str">
        <v>Hawke's Bay</v>
      </c>
      <c r="J410" t="str">
        <v>New Zealand</v>
      </c>
      <c r="K410" t="str">
        <v>Trailer</v>
      </c>
      <c r="L410" t="str">
        <v>Standard</v>
      </c>
      <c r="P410">
        <f t="shared" si="6"/>
        <v>1</v>
      </c>
    </row>
    <row r="411" spans="1:16" ht="14.5" x14ac:dyDescent="0.35">
      <c r="A411" s="12">
        <v>410</v>
      </c>
      <c r="B411" s="13" t="s">
        <v>37</v>
      </c>
      <c r="C411" s="12">
        <v>623</v>
      </c>
      <c r="D411" s="12">
        <v>2017</v>
      </c>
      <c r="E411" s="13" t="s">
        <v>271</v>
      </c>
      <c r="F411" s="13" t="s">
        <v>10</v>
      </c>
      <c r="G411" s="15">
        <v>44648</v>
      </c>
      <c r="H411" s="12">
        <v>102</v>
      </c>
      <c r="I411" t="str">
        <v>Auckland</v>
      </c>
      <c r="J411" t="str">
        <v>New Zealand</v>
      </c>
      <c r="K411" t="str">
        <v>Trailer</v>
      </c>
      <c r="L411" t="str">
        <v>Standard</v>
      </c>
      <c r="P411">
        <f t="shared" si="6"/>
        <v>3</v>
      </c>
    </row>
    <row r="412" spans="1:16" ht="14.5" x14ac:dyDescent="0.35">
      <c r="A412" s="12">
        <v>411</v>
      </c>
      <c r="B412" s="13" t="s">
        <v>8</v>
      </c>
      <c r="C412" s="12">
        <v>623</v>
      </c>
      <c r="D412" s="12">
        <v>2017</v>
      </c>
      <c r="E412" s="13" t="s">
        <v>272</v>
      </c>
      <c r="F412" s="13" t="s">
        <v>10</v>
      </c>
      <c r="G412" s="15">
        <v>44648</v>
      </c>
      <c r="H412" s="12">
        <v>111</v>
      </c>
      <c r="I412" t="str">
        <v>Nelson</v>
      </c>
      <c r="J412" t="str">
        <v>New Zealand</v>
      </c>
      <c r="K412" t="str">
        <v>Trailer</v>
      </c>
      <c r="L412" t="str">
        <v>Standard</v>
      </c>
      <c r="P412">
        <f t="shared" si="6"/>
        <v>3</v>
      </c>
    </row>
    <row r="413" spans="1:16" ht="14.5" x14ac:dyDescent="0.35">
      <c r="A413" s="12">
        <v>412</v>
      </c>
      <c r="B413" s="13" t="s">
        <v>8</v>
      </c>
      <c r="C413" s="12">
        <v>623</v>
      </c>
      <c r="D413" s="12">
        <v>2017</v>
      </c>
      <c r="E413" s="13" t="s">
        <v>112</v>
      </c>
      <c r="F413" s="13" t="s">
        <v>10</v>
      </c>
      <c r="G413" s="15">
        <v>44648</v>
      </c>
      <c r="H413" s="12">
        <v>102</v>
      </c>
      <c r="I413" t="str">
        <v>Auckland</v>
      </c>
      <c r="J413" t="str">
        <v>New Zealand</v>
      </c>
      <c r="K413" t="str">
        <v>Trailer</v>
      </c>
      <c r="L413" t="str">
        <v>Standard</v>
      </c>
      <c r="P413">
        <f t="shared" si="6"/>
        <v>3</v>
      </c>
    </row>
    <row r="414" spans="1:16" ht="14.5" x14ac:dyDescent="0.35">
      <c r="A414" s="12">
        <v>413</v>
      </c>
      <c r="B414" s="13" t="s">
        <v>8</v>
      </c>
      <c r="C414" s="12">
        <v>549</v>
      </c>
      <c r="D414" s="12">
        <v>2017</v>
      </c>
      <c r="E414" s="13" t="s">
        <v>46</v>
      </c>
      <c r="F414" s="13" t="s">
        <v>18</v>
      </c>
      <c r="G414" s="15">
        <v>44648</v>
      </c>
      <c r="H414" s="12">
        <v>104</v>
      </c>
      <c r="I414" t="str">
        <v>Bay of Plenty</v>
      </c>
      <c r="J414" t="str">
        <v>New Zealand</v>
      </c>
      <c r="K414" t="str">
        <v>Homebuilt</v>
      </c>
      <c r="L414" t="str">
        <v>Standard</v>
      </c>
      <c r="P414">
        <f t="shared" si="6"/>
        <v>1</v>
      </c>
    </row>
    <row r="415" spans="1:16" ht="14.5" x14ac:dyDescent="0.35">
      <c r="A415" s="12">
        <v>414</v>
      </c>
      <c r="B415" s="13" t="s">
        <v>61</v>
      </c>
      <c r="C415" s="12">
        <v>519</v>
      </c>
      <c r="D415" s="12">
        <v>2002</v>
      </c>
      <c r="E415" s="13" t="s">
        <v>273</v>
      </c>
      <c r="F415" s="13" t="s">
        <v>32</v>
      </c>
      <c r="G415" s="15">
        <v>44648</v>
      </c>
      <c r="H415" s="12">
        <v>101</v>
      </c>
      <c r="I415" t="str">
        <v>Northland</v>
      </c>
      <c r="J415" t="str">
        <v>New Zealand</v>
      </c>
      <c r="K415" t="str">
        <v>Caravan</v>
      </c>
      <c r="L415" t="str">
        <v>Standard</v>
      </c>
      <c r="P415">
        <f t="shared" si="6"/>
        <v>1</v>
      </c>
    </row>
    <row r="416" spans="1:16" ht="14.5" x14ac:dyDescent="0.35">
      <c r="A416" s="12">
        <v>415</v>
      </c>
      <c r="B416" s="13" t="s">
        <v>37</v>
      </c>
      <c r="C416" s="12">
        <v>623</v>
      </c>
      <c r="D416" s="12">
        <v>2017</v>
      </c>
      <c r="E416" s="13" t="s">
        <v>195</v>
      </c>
      <c r="F416" s="13" t="s">
        <v>10</v>
      </c>
      <c r="G416" s="15">
        <v>44649</v>
      </c>
      <c r="H416" s="12">
        <v>102</v>
      </c>
      <c r="I416" t="str">
        <v>Auckland</v>
      </c>
      <c r="J416" t="str">
        <v>New Zealand</v>
      </c>
      <c r="K416" t="str">
        <v>Trailer</v>
      </c>
      <c r="L416" t="str">
        <v>Standard</v>
      </c>
      <c r="P416">
        <f t="shared" si="6"/>
        <v>2</v>
      </c>
    </row>
    <row r="417" spans="1:16" ht="14.5" x14ac:dyDescent="0.35">
      <c r="A417" s="12">
        <v>416</v>
      </c>
      <c r="B417" s="13" t="s">
        <v>8</v>
      </c>
      <c r="C417" s="12">
        <v>623</v>
      </c>
      <c r="D417" s="12">
        <v>2017</v>
      </c>
      <c r="E417" s="13" t="s">
        <v>81</v>
      </c>
      <c r="F417" s="13" t="s">
        <v>10</v>
      </c>
      <c r="G417" s="15">
        <v>44649</v>
      </c>
      <c r="H417" s="12">
        <v>114</v>
      </c>
      <c r="I417" t="str">
        <v>Canterbury</v>
      </c>
      <c r="J417" t="str">
        <v>New Zealand</v>
      </c>
      <c r="K417" t="str">
        <v>Trailer</v>
      </c>
      <c r="L417" t="str">
        <v>Standard</v>
      </c>
      <c r="P417">
        <f t="shared" si="6"/>
        <v>2</v>
      </c>
    </row>
    <row r="418" spans="1:16" ht="14.5" x14ac:dyDescent="0.35">
      <c r="A418" s="12">
        <v>417</v>
      </c>
      <c r="B418" s="13" t="s">
        <v>11</v>
      </c>
      <c r="C418" s="12">
        <v>623</v>
      </c>
      <c r="D418" s="12">
        <v>2002</v>
      </c>
      <c r="E418" s="13" t="s">
        <v>274</v>
      </c>
      <c r="F418" s="13" t="s">
        <v>10</v>
      </c>
      <c r="G418" s="15">
        <v>44650</v>
      </c>
      <c r="H418" s="12">
        <v>104</v>
      </c>
      <c r="I418" t="str">
        <v>Bay of Plenty</v>
      </c>
      <c r="J418" t="str">
        <v>New Zealand</v>
      </c>
      <c r="K418" t="str">
        <v>Trailer</v>
      </c>
      <c r="L418" t="str">
        <v>Standard</v>
      </c>
      <c r="P418">
        <f t="shared" si="6"/>
        <v>3</v>
      </c>
    </row>
    <row r="419" spans="1:16" ht="14.5" x14ac:dyDescent="0.35">
      <c r="A419" s="12">
        <v>418</v>
      </c>
      <c r="B419" s="13" t="s">
        <v>8</v>
      </c>
      <c r="C419" s="12">
        <v>623</v>
      </c>
      <c r="D419" s="12">
        <v>2020</v>
      </c>
      <c r="E419" s="13" t="s">
        <v>100</v>
      </c>
      <c r="F419" s="13" t="s">
        <v>10</v>
      </c>
      <c r="G419" s="15">
        <v>44650</v>
      </c>
      <c r="H419" s="12">
        <v>108</v>
      </c>
      <c r="I419" t="str">
        <v>Manawatū-Whanganui</v>
      </c>
      <c r="J419" t="str">
        <v>New Zealand</v>
      </c>
      <c r="K419" t="str">
        <v>Trailer</v>
      </c>
      <c r="L419" t="str">
        <v>Standard</v>
      </c>
      <c r="P419">
        <f t="shared" si="6"/>
        <v>3</v>
      </c>
    </row>
    <row r="420" spans="1:16" ht="14.5" x14ac:dyDescent="0.35">
      <c r="A420" s="12">
        <v>419</v>
      </c>
      <c r="B420" s="13" t="s">
        <v>8</v>
      </c>
      <c r="C420" s="12">
        <v>514</v>
      </c>
      <c r="D420" s="12">
        <v>2020</v>
      </c>
      <c r="E420" s="13" t="s">
        <v>209</v>
      </c>
      <c r="F420" s="13" t="s">
        <v>10</v>
      </c>
      <c r="G420" s="15">
        <v>44650</v>
      </c>
      <c r="H420" s="12">
        <v>114</v>
      </c>
      <c r="I420" t="str">
        <v>Canterbury</v>
      </c>
      <c r="J420" t="str">
        <v>New Zealand</v>
      </c>
      <c r="K420" t="str">
        <v>Briford</v>
      </c>
      <c r="L420" t="str">
        <v>Standard</v>
      </c>
      <c r="P420">
        <f t="shared" si="6"/>
        <v>1</v>
      </c>
    </row>
    <row r="421" spans="1:16" ht="14.5" x14ac:dyDescent="0.35">
      <c r="A421" s="12">
        <v>420</v>
      </c>
      <c r="B421" s="13" t="s">
        <v>37</v>
      </c>
      <c r="C421" s="12">
        <v>549</v>
      </c>
      <c r="D421" s="12">
        <v>1987</v>
      </c>
      <c r="E421" s="13" t="s">
        <v>51</v>
      </c>
      <c r="F421" s="13" t="s">
        <v>47</v>
      </c>
      <c r="G421" s="15">
        <v>44650</v>
      </c>
      <c r="H421" s="12">
        <v>114</v>
      </c>
      <c r="I421" t="str">
        <v>Canterbury</v>
      </c>
      <c r="J421" t="str">
        <v>New Zealand</v>
      </c>
      <c r="K421" t="str">
        <v>Homebuilt</v>
      </c>
      <c r="L421" t="str">
        <v>Standard</v>
      </c>
      <c r="P421">
        <f t="shared" si="6"/>
        <v>1</v>
      </c>
    </row>
    <row r="422" spans="1:16" ht="14.5" x14ac:dyDescent="0.35">
      <c r="A422" s="12">
        <v>421</v>
      </c>
      <c r="B422" s="13" t="s">
        <v>11</v>
      </c>
      <c r="C422" s="12">
        <v>623</v>
      </c>
      <c r="D422" s="12">
        <v>2020</v>
      </c>
      <c r="E422" s="13" t="s">
        <v>275</v>
      </c>
      <c r="F422" s="13" t="s">
        <v>10</v>
      </c>
      <c r="G422" s="15">
        <v>44650</v>
      </c>
      <c r="H422" s="12">
        <v>114</v>
      </c>
      <c r="I422" t="str">
        <v>Canterbury</v>
      </c>
      <c r="J422" t="str">
        <v>New Zealand</v>
      </c>
      <c r="K422" t="str">
        <v>Trailer</v>
      </c>
      <c r="L422" t="str">
        <v>Standard</v>
      </c>
      <c r="P422">
        <f t="shared" si="6"/>
        <v>3</v>
      </c>
    </row>
    <row r="423" spans="1:16" ht="14.5" x14ac:dyDescent="0.35">
      <c r="A423" s="12">
        <v>422</v>
      </c>
      <c r="B423" s="13" t="s">
        <v>8</v>
      </c>
      <c r="C423" s="12">
        <v>623</v>
      </c>
      <c r="D423" s="12">
        <v>2020</v>
      </c>
      <c r="E423" s="13" t="s">
        <v>100</v>
      </c>
      <c r="F423" s="13" t="s">
        <v>10</v>
      </c>
      <c r="G423" s="15">
        <v>44651</v>
      </c>
      <c r="H423" s="12">
        <v>109</v>
      </c>
      <c r="I423" t="str">
        <v>Wellington</v>
      </c>
      <c r="J423" t="str">
        <v>New Zealand</v>
      </c>
      <c r="K423" t="str">
        <v>Trailer</v>
      </c>
      <c r="L423" t="str">
        <v>Standard</v>
      </c>
      <c r="P423">
        <f t="shared" si="6"/>
        <v>3</v>
      </c>
    </row>
    <row r="424" spans="1:16" ht="14.5" x14ac:dyDescent="0.35">
      <c r="A424" s="12">
        <v>423</v>
      </c>
      <c r="B424" s="13" t="s">
        <v>8</v>
      </c>
      <c r="C424" s="12">
        <v>623</v>
      </c>
      <c r="D424" s="12">
        <v>2020</v>
      </c>
      <c r="E424" s="13" t="s">
        <v>100</v>
      </c>
      <c r="F424" s="13" t="s">
        <v>10</v>
      </c>
      <c r="G424" s="15">
        <v>44651</v>
      </c>
      <c r="H424" s="12">
        <v>104</v>
      </c>
      <c r="I424" t="str">
        <v>Bay of Plenty</v>
      </c>
      <c r="J424" t="str">
        <v>New Zealand</v>
      </c>
      <c r="K424" t="str">
        <v>Trailer</v>
      </c>
      <c r="L424" t="str">
        <v>Standard</v>
      </c>
      <c r="P424">
        <f t="shared" si="6"/>
        <v>3</v>
      </c>
    </row>
    <row r="425" spans="1:16" ht="14.5" x14ac:dyDescent="0.35">
      <c r="A425" s="12">
        <v>424</v>
      </c>
      <c r="B425" s="13" t="s">
        <v>8</v>
      </c>
      <c r="C425" s="12">
        <v>623</v>
      </c>
      <c r="D425" s="12">
        <v>2020</v>
      </c>
      <c r="E425" s="13" t="s">
        <v>53</v>
      </c>
      <c r="F425" s="13" t="s">
        <v>10</v>
      </c>
      <c r="G425" s="15">
        <v>44651</v>
      </c>
      <c r="H425" s="12">
        <v>103</v>
      </c>
      <c r="I425" t="str">
        <v>Waikato</v>
      </c>
      <c r="J425" t="str">
        <v>New Zealand</v>
      </c>
      <c r="K425" t="str">
        <v>Trailer</v>
      </c>
      <c r="L425" t="str">
        <v>Standard</v>
      </c>
      <c r="P425">
        <f t="shared" si="6"/>
        <v>3</v>
      </c>
    </row>
    <row r="426" spans="1:16" ht="14.5" x14ac:dyDescent="0.35">
      <c r="A426" s="12">
        <v>425</v>
      </c>
      <c r="B426" s="13" t="s">
        <v>8</v>
      </c>
      <c r="C426" s="12">
        <v>562</v>
      </c>
      <c r="D426" s="12">
        <v>2020</v>
      </c>
      <c r="E426" s="13" t="s">
        <v>276</v>
      </c>
      <c r="F426" s="13" t="s">
        <v>10</v>
      </c>
      <c r="G426" s="15">
        <v>44651</v>
      </c>
      <c r="H426" s="12">
        <v>103</v>
      </c>
      <c r="I426" t="str">
        <v>Waikato</v>
      </c>
      <c r="J426" t="str">
        <v>New Zealand</v>
      </c>
      <c r="K426" t="str">
        <v>Kea</v>
      </c>
      <c r="L426" t="str">
        <v>Standard</v>
      </c>
      <c r="P426">
        <f t="shared" si="6"/>
        <v>1</v>
      </c>
    </row>
    <row r="427" spans="1:16" ht="14.5" x14ac:dyDescent="0.35">
      <c r="A427" s="12">
        <v>426</v>
      </c>
      <c r="B427" s="13" t="s">
        <v>61</v>
      </c>
      <c r="C427" s="12">
        <v>519</v>
      </c>
      <c r="D427" s="12">
        <v>2009</v>
      </c>
      <c r="E427" s="13" t="s">
        <v>277</v>
      </c>
      <c r="F427" s="13" t="s">
        <v>32</v>
      </c>
      <c r="G427" s="15">
        <v>44651</v>
      </c>
      <c r="H427" s="12">
        <v>114</v>
      </c>
      <c r="I427" t="str">
        <v>Canterbury</v>
      </c>
      <c r="J427" t="str">
        <v>New Zealand</v>
      </c>
      <c r="K427" t="str">
        <v>Caravan</v>
      </c>
      <c r="L427" t="str">
        <v>Standard</v>
      </c>
      <c r="P427">
        <f t="shared" si="6"/>
        <v>1</v>
      </c>
    </row>
    <row r="428" spans="1:16" ht="14.5" x14ac:dyDescent="0.35">
      <c r="A428" s="12">
        <v>427</v>
      </c>
      <c r="B428" s="13" t="s">
        <v>83</v>
      </c>
      <c r="C428" s="12">
        <v>512</v>
      </c>
      <c r="D428" s="12">
        <v>2014</v>
      </c>
      <c r="E428" s="13" t="s">
        <v>278</v>
      </c>
      <c r="F428" s="13" t="s">
        <v>32</v>
      </c>
      <c r="G428" s="14">
        <v>44652</v>
      </c>
      <c r="H428" s="12">
        <v>102</v>
      </c>
      <c r="I428" t="str">
        <v>Auckland</v>
      </c>
      <c r="J428" t="str">
        <v>New Zealand</v>
      </c>
      <c r="K428" t="str">
        <v>BMW</v>
      </c>
      <c r="L428" t="str">
        <v>Luxury</v>
      </c>
      <c r="P428">
        <f t="shared" si="6"/>
        <v>1</v>
      </c>
    </row>
    <row r="429" spans="1:16" ht="14.5" x14ac:dyDescent="0.35">
      <c r="A429" s="12">
        <v>428</v>
      </c>
      <c r="B429" s="13" t="s">
        <v>11</v>
      </c>
      <c r="C429" s="12">
        <v>623</v>
      </c>
      <c r="D429" s="12">
        <v>1980</v>
      </c>
      <c r="E429" s="13" t="s">
        <v>79</v>
      </c>
      <c r="F429" s="13" t="s">
        <v>45</v>
      </c>
      <c r="G429" s="14">
        <v>44652</v>
      </c>
      <c r="H429" s="12">
        <v>104</v>
      </c>
      <c r="I429" t="str">
        <v>Bay of Plenty</v>
      </c>
      <c r="J429" t="str">
        <v>New Zealand</v>
      </c>
      <c r="K429" t="str">
        <v>Trailer</v>
      </c>
      <c r="L429" t="str">
        <v>Standard</v>
      </c>
      <c r="P429">
        <f t="shared" si="6"/>
        <v>2</v>
      </c>
    </row>
    <row r="430" spans="1:16" ht="14.5" x14ac:dyDescent="0.35">
      <c r="A430" s="12">
        <v>429</v>
      </c>
      <c r="B430" s="13" t="s">
        <v>61</v>
      </c>
      <c r="C430" s="12">
        <v>519</v>
      </c>
      <c r="D430" s="12">
        <v>2010</v>
      </c>
      <c r="E430" s="13" t="s">
        <v>279</v>
      </c>
      <c r="F430" s="13" t="s">
        <v>32</v>
      </c>
      <c r="G430" s="14">
        <v>44652</v>
      </c>
      <c r="H430" s="12">
        <v>114</v>
      </c>
      <c r="I430" t="str">
        <v>Canterbury</v>
      </c>
      <c r="J430" t="str">
        <v>New Zealand</v>
      </c>
      <c r="K430" t="str">
        <v>Caravan</v>
      </c>
      <c r="L430" t="str">
        <v>Standard</v>
      </c>
      <c r="P430">
        <f t="shared" si="6"/>
        <v>1</v>
      </c>
    </row>
    <row r="431" spans="1:16" ht="14.5" x14ac:dyDescent="0.35">
      <c r="A431" s="12">
        <v>430</v>
      </c>
      <c r="B431" s="13" t="s">
        <v>8</v>
      </c>
      <c r="C431" s="12">
        <v>623</v>
      </c>
      <c r="D431" s="12">
        <v>1979</v>
      </c>
      <c r="E431" s="13" t="s">
        <v>68</v>
      </c>
      <c r="F431" s="13" t="s">
        <v>66</v>
      </c>
      <c r="G431" s="14">
        <v>44652</v>
      </c>
      <c r="H431" s="12">
        <v>109</v>
      </c>
      <c r="I431" t="str">
        <v>Wellington</v>
      </c>
      <c r="J431" t="str">
        <v>New Zealand</v>
      </c>
      <c r="K431" t="str">
        <v>Trailer</v>
      </c>
      <c r="L431" t="str">
        <v>Standard</v>
      </c>
      <c r="P431">
        <f t="shared" si="6"/>
        <v>2</v>
      </c>
    </row>
    <row r="432" spans="1:16" ht="14.5" x14ac:dyDescent="0.35">
      <c r="A432" s="12">
        <v>431</v>
      </c>
      <c r="B432" s="13" t="s">
        <v>61</v>
      </c>
      <c r="C432" s="12">
        <v>609</v>
      </c>
      <c r="D432" s="12">
        <v>2005</v>
      </c>
      <c r="E432" s="13" t="s">
        <v>280</v>
      </c>
      <c r="F432" s="13" t="s">
        <v>32</v>
      </c>
      <c r="G432" s="14">
        <v>44652</v>
      </c>
      <c r="H432" s="12">
        <v>102</v>
      </c>
      <c r="I432" t="str">
        <v>Auckland</v>
      </c>
      <c r="J432" t="str">
        <v>New Zealand</v>
      </c>
      <c r="K432" t="str">
        <v>Sterling</v>
      </c>
      <c r="L432" t="str">
        <v>Standard</v>
      </c>
      <c r="P432">
        <f t="shared" si="6"/>
        <v>1</v>
      </c>
    </row>
    <row r="433" spans="1:16" ht="14.5" x14ac:dyDescent="0.35">
      <c r="A433" s="12">
        <v>432</v>
      </c>
      <c r="B433" s="13" t="s">
        <v>16</v>
      </c>
      <c r="C433" s="12">
        <v>636</v>
      </c>
      <c r="D433" s="12">
        <v>2004</v>
      </c>
      <c r="E433" s="13" t="s">
        <v>281</v>
      </c>
      <c r="F433" s="13" t="s">
        <v>10</v>
      </c>
      <c r="G433" s="14">
        <v>44653</v>
      </c>
      <c r="H433" s="12">
        <v>114</v>
      </c>
      <c r="I433" t="str">
        <v>Canterbury</v>
      </c>
      <c r="J433" t="str">
        <v>New Zealand</v>
      </c>
      <c r="K433" t="str">
        <v>Yamaha</v>
      </c>
      <c r="L433" t="str">
        <v>Standard</v>
      </c>
      <c r="P433">
        <f t="shared" si="6"/>
        <v>1</v>
      </c>
    </row>
    <row r="434" spans="1:16" ht="14.5" x14ac:dyDescent="0.35">
      <c r="A434" s="12">
        <v>433</v>
      </c>
      <c r="B434" s="13" t="s">
        <v>8</v>
      </c>
      <c r="C434" s="12">
        <v>623</v>
      </c>
      <c r="D434" s="12">
        <v>1981</v>
      </c>
      <c r="E434" s="13" t="s">
        <v>33</v>
      </c>
      <c r="F434" s="13" t="s">
        <v>66</v>
      </c>
      <c r="G434" s="14">
        <v>44653</v>
      </c>
      <c r="H434" s="12">
        <v>102</v>
      </c>
      <c r="I434" t="str">
        <v>Auckland</v>
      </c>
      <c r="J434" t="str">
        <v>New Zealand</v>
      </c>
      <c r="K434" t="str">
        <v>Trailer</v>
      </c>
      <c r="L434" t="str">
        <v>Standard</v>
      </c>
      <c r="P434">
        <f t="shared" si="6"/>
        <v>1</v>
      </c>
    </row>
    <row r="435" spans="1:16" ht="14.5" x14ac:dyDescent="0.35">
      <c r="A435" s="12">
        <v>434</v>
      </c>
      <c r="B435" s="13" t="s">
        <v>16</v>
      </c>
      <c r="C435" s="12">
        <v>631</v>
      </c>
      <c r="D435" s="12">
        <v>2007</v>
      </c>
      <c r="E435" s="13" t="s">
        <v>282</v>
      </c>
      <c r="F435" s="13" t="s">
        <v>18</v>
      </c>
      <c r="G435" s="14">
        <v>44653</v>
      </c>
      <c r="H435" s="12">
        <v>111</v>
      </c>
      <c r="I435" t="str">
        <v>Nelson</v>
      </c>
      <c r="J435" t="str">
        <v>New Zealand</v>
      </c>
      <c r="K435" t="str">
        <v>Victory</v>
      </c>
      <c r="L435" t="str">
        <v>Standard</v>
      </c>
      <c r="P435">
        <f t="shared" si="6"/>
        <v>1</v>
      </c>
    </row>
    <row r="436" spans="1:16" ht="14.5" x14ac:dyDescent="0.35">
      <c r="A436" s="12">
        <v>435</v>
      </c>
      <c r="B436" s="13" t="s">
        <v>25</v>
      </c>
      <c r="C436" s="12">
        <v>585</v>
      </c>
      <c r="D436" s="12">
        <v>2008</v>
      </c>
      <c r="E436" s="13" t="s">
        <v>139</v>
      </c>
      <c r="F436" s="13" t="s">
        <v>283</v>
      </c>
      <c r="G436" s="14">
        <v>44654</v>
      </c>
      <c r="H436" s="12">
        <v>109</v>
      </c>
      <c r="I436" t="str">
        <v>Wellington</v>
      </c>
      <c r="J436" t="str">
        <v>New Zealand</v>
      </c>
      <c r="K436" t="str">
        <v>Moped</v>
      </c>
      <c r="L436" t="str">
        <v>Standard</v>
      </c>
      <c r="P436">
        <f t="shared" si="6"/>
        <v>1</v>
      </c>
    </row>
    <row r="437" spans="1:16" ht="14.5" x14ac:dyDescent="0.35">
      <c r="A437" s="12">
        <v>436</v>
      </c>
      <c r="B437" s="13" t="s">
        <v>8</v>
      </c>
      <c r="C437" s="12">
        <v>514</v>
      </c>
      <c r="D437" s="12">
        <v>1999</v>
      </c>
      <c r="E437" s="13" t="s">
        <v>177</v>
      </c>
      <c r="F437" s="13" t="s">
        <v>10</v>
      </c>
      <c r="G437" s="14">
        <v>44654</v>
      </c>
      <c r="H437" s="12">
        <v>114</v>
      </c>
      <c r="I437" t="str">
        <v>Canterbury</v>
      </c>
      <c r="J437" t="str">
        <v>New Zealand</v>
      </c>
      <c r="K437" t="str">
        <v>Briford</v>
      </c>
      <c r="L437" t="str">
        <v>Standard</v>
      </c>
      <c r="P437">
        <f t="shared" si="6"/>
        <v>1</v>
      </c>
    </row>
    <row r="438" spans="1:16" ht="14.5" x14ac:dyDescent="0.35">
      <c r="A438" s="12">
        <v>437</v>
      </c>
      <c r="B438" s="13" t="s">
        <v>8</v>
      </c>
      <c r="C438" s="12">
        <v>623</v>
      </c>
      <c r="D438" s="12">
        <v>1967</v>
      </c>
      <c r="E438" s="13" t="s">
        <v>36</v>
      </c>
      <c r="F438" s="13" t="s">
        <v>69</v>
      </c>
      <c r="G438" s="14">
        <v>44654</v>
      </c>
      <c r="H438" s="12">
        <v>103</v>
      </c>
      <c r="I438" t="str">
        <v>Waikato</v>
      </c>
      <c r="J438" t="str">
        <v>New Zealand</v>
      </c>
      <c r="K438" t="str">
        <v>Trailer</v>
      </c>
      <c r="L438" t="str">
        <v>Standard</v>
      </c>
      <c r="P438">
        <f t="shared" si="6"/>
        <v>1</v>
      </c>
    </row>
    <row r="439" spans="1:16" ht="14.5" x14ac:dyDescent="0.35">
      <c r="A439" s="12">
        <v>438</v>
      </c>
      <c r="B439" s="13" t="s">
        <v>8</v>
      </c>
      <c r="C439" s="12">
        <v>624</v>
      </c>
      <c r="D439" s="12">
        <v>2020</v>
      </c>
      <c r="E439" s="13" t="s">
        <v>92</v>
      </c>
      <c r="F439" s="13" t="s">
        <v>10</v>
      </c>
      <c r="G439" s="14">
        <v>44654</v>
      </c>
      <c r="H439" s="12">
        <v>111</v>
      </c>
      <c r="I439" t="str">
        <v>Nelson</v>
      </c>
      <c r="J439" t="str">
        <v>New Zealand</v>
      </c>
      <c r="K439" t="str">
        <v>Trike</v>
      </c>
      <c r="L439" t="str">
        <v>Standard</v>
      </c>
      <c r="P439">
        <f t="shared" si="6"/>
        <v>1</v>
      </c>
    </row>
    <row r="440" spans="1:16" ht="14.5" x14ac:dyDescent="0.35">
      <c r="A440" s="12">
        <v>439</v>
      </c>
      <c r="B440" s="13" t="s">
        <v>8</v>
      </c>
      <c r="C440" s="12">
        <v>623</v>
      </c>
      <c r="D440" s="12">
        <v>2020</v>
      </c>
      <c r="E440" s="13" t="s">
        <v>33</v>
      </c>
      <c r="F440" s="13" t="s">
        <v>10</v>
      </c>
      <c r="G440" s="14">
        <v>44655</v>
      </c>
      <c r="H440" s="12">
        <v>104</v>
      </c>
      <c r="I440" t="str">
        <v>Bay of Plenty</v>
      </c>
      <c r="J440" t="str">
        <v>New Zealand</v>
      </c>
      <c r="K440" t="str">
        <v>Trailer</v>
      </c>
      <c r="L440" t="str">
        <v>Standard</v>
      </c>
      <c r="P440">
        <f t="shared" si="6"/>
        <v>2</v>
      </c>
    </row>
    <row r="441" spans="1:16" ht="14.5" x14ac:dyDescent="0.35">
      <c r="A441" s="12">
        <v>440</v>
      </c>
      <c r="B441" s="13" t="s">
        <v>8</v>
      </c>
      <c r="C441" s="12">
        <v>623</v>
      </c>
      <c r="D441" s="12">
        <v>2020</v>
      </c>
      <c r="E441" s="13" t="s">
        <v>284</v>
      </c>
      <c r="F441" s="13" t="s">
        <v>10</v>
      </c>
      <c r="G441" s="14">
        <v>44655</v>
      </c>
      <c r="H441" s="12">
        <v>109</v>
      </c>
      <c r="I441" t="str">
        <v>Wellington</v>
      </c>
      <c r="J441" t="str">
        <v>New Zealand</v>
      </c>
      <c r="K441" t="str">
        <v>Trailer</v>
      </c>
      <c r="L441" t="str">
        <v>Standard</v>
      </c>
      <c r="P441">
        <f t="shared" si="6"/>
        <v>2</v>
      </c>
    </row>
    <row r="442" spans="1:16" ht="14.5" x14ac:dyDescent="0.35">
      <c r="A442" s="12">
        <v>441</v>
      </c>
      <c r="B442" s="13" t="s">
        <v>16</v>
      </c>
      <c r="C442" s="12">
        <v>550</v>
      </c>
      <c r="D442" s="12">
        <v>2003</v>
      </c>
      <c r="E442" s="13" t="s">
        <v>285</v>
      </c>
      <c r="F442" s="13" t="s">
        <v>10</v>
      </c>
      <c r="G442" s="14">
        <v>44655</v>
      </c>
      <c r="H442" s="12">
        <v>102</v>
      </c>
      <c r="I442" t="str">
        <v>Auckland</v>
      </c>
      <c r="J442" t="str">
        <v>New Zealand</v>
      </c>
      <c r="K442" t="str">
        <v>Honda</v>
      </c>
      <c r="L442" t="str">
        <v>Standard</v>
      </c>
      <c r="P442">
        <f t="shared" si="6"/>
        <v>1</v>
      </c>
    </row>
    <row r="443" spans="1:16" ht="14.5" x14ac:dyDescent="0.35">
      <c r="A443" s="12">
        <v>442</v>
      </c>
      <c r="B443" s="13" t="s">
        <v>8</v>
      </c>
      <c r="C443" s="12">
        <v>562</v>
      </c>
      <c r="D443" s="12">
        <v>2000</v>
      </c>
      <c r="E443" s="13" t="s">
        <v>286</v>
      </c>
      <c r="F443" s="13" t="s">
        <v>10</v>
      </c>
      <c r="G443" s="14">
        <v>44682</v>
      </c>
      <c r="H443" s="12">
        <v>103</v>
      </c>
      <c r="I443" t="str">
        <v>Waikato</v>
      </c>
      <c r="J443" t="str">
        <v>New Zealand</v>
      </c>
      <c r="K443" t="str">
        <v>Kea</v>
      </c>
      <c r="L443" t="str">
        <v>Standard</v>
      </c>
      <c r="P443">
        <f t="shared" si="6"/>
        <v>1</v>
      </c>
    </row>
    <row r="444" spans="1:16" ht="14.5" x14ac:dyDescent="0.35">
      <c r="A444" s="12">
        <v>443</v>
      </c>
      <c r="B444" s="13" t="s">
        <v>8</v>
      </c>
      <c r="C444" s="12">
        <v>623</v>
      </c>
      <c r="D444" s="12">
        <v>1972</v>
      </c>
      <c r="E444" s="13" t="s">
        <v>36</v>
      </c>
      <c r="F444" s="13" t="s">
        <v>28</v>
      </c>
      <c r="G444" s="14">
        <v>44682</v>
      </c>
      <c r="H444" s="12">
        <v>108</v>
      </c>
      <c r="I444" t="str">
        <v>Manawatū-Whanganui</v>
      </c>
      <c r="J444" t="str">
        <v>New Zealand</v>
      </c>
      <c r="K444" t="str">
        <v>Trailer</v>
      </c>
      <c r="L444" t="str">
        <v>Standard</v>
      </c>
      <c r="P444">
        <f t="shared" si="6"/>
        <v>1</v>
      </c>
    </row>
    <row r="445" spans="1:16" ht="14.5" x14ac:dyDescent="0.35">
      <c r="A445" s="12">
        <v>444</v>
      </c>
      <c r="B445" s="13" t="s">
        <v>8</v>
      </c>
      <c r="C445" s="12">
        <v>549</v>
      </c>
      <c r="D445" s="12">
        <v>1992</v>
      </c>
      <c r="E445" s="13" t="s">
        <v>287</v>
      </c>
      <c r="F445" s="13" t="s">
        <v>32</v>
      </c>
      <c r="G445" s="14">
        <v>44682</v>
      </c>
      <c r="H445" s="12">
        <v>114</v>
      </c>
      <c r="I445" t="str">
        <v>Canterbury</v>
      </c>
      <c r="J445" t="str">
        <v>New Zealand</v>
      </c>
      <c r="K445" t="str">
        <v>Homebuilt</v>
      </c>
      <c r="L445" t="str">
        <v>Standard</v>
      </c>
      <c r="P445">
        <f t="shared" si="6"/>
        <v>1</v>
      </c>
    </row>
    <row r="446" spans="1:16" ht="14.5" x14ac:dyDescent="0.35">
      <c r="A446" s="12">
        <v>445</v>
      </c>
      <c r="B446" s="13" t="s">
        <v>8</v>
      </c>
      <c r="C446" s="12">
        <v>623</v>
      </c>
      <c r="D446" s="12">
        <v>2020</v>
      </c>
      <c r="E446" s="13" t="s">
        <v>23</v>
      </c>
      <c r="F446" s="13" t="s">
        <v>10</v>
      </c>
      <c r="G446" s="14">
        <v>44683</v>
      </c>
      <c r="H446" s="12">
        <v>101</v>
      </c>
      <c r="I446" t="str">
        <v>Northland</v>
      </c>
      <c r="J446" t="str">
        <v>New Zealand</v>
      </c>
      <c r="K446" t="str">
        <v>Trailer</v>
      </c>
      <c r="L446" t="str">
        <v>Standard</v>
      </c>
      <c r="P446">
        <f t="shared" si="6"/>
        <v>1</v>
      </c>
    </row>
    <row r="447" spans="1:16" ht="14.5" x14ac:dyDescent="0.35">
      <c r="A447" s="12">
        <v>446</v>
      </c>
      <c r="B447" s="13" t="s">
        <v>8</v>
      </c>
      <c r="C447" s="12">
        <v>623</v>
      </c>
      <c r="D447" s="12">
        <v>2020</v>
      </c>
      <c r="E447" s="13" t="s">
        <v>80</v>
      </c>
      <c r="F447" s="13" t="s">
        <v>10</v>
      </c>
      <c r="G447" s="14">
        <v>44684</v>
      </c>
      <c r="H447" s="12">
        <v>114</v>
      </c>
      <c r="I447" t="str">
        <v>Canterbury</v>
      </c>
      <c r="J447" t="str">
        <v>New Zealand</v>
      </c>
      <c r="K447" t="str">
        <v>Trailer</v>
      </c>
      <c r="L447" t="str">
        <v>Standard</v>
      </c>
      <c r="P447">
        <f t="shared" si="6"/>
        <v>1</v>
      </c>
    </row>
    <row r="448" spans="1:16" ht="14.5" x14ac:dyDescent="0.35">
      <c r="A448" s="12">
        <v>447</v>
      </c>
      <c r="B448" s="13" t="s">
        <v>16</v>
      </c>
      <c r="C448" s="12">
        <v>594</v>
      </c>
      <c r="D448" s="12">
        <v>1997</v>
      </c>
      <c r="E448" s="13" t="s">
        <v>288</v>
      </c>
      <c r="F448" s="13" t="s">
        <v>45</v>
      </c>
      <c r="G448" s="14">
        <v>44684</v>
      </c>
      <c r="H448" s="12">
        <v>102</v>
      </c>
      <c r="I448" t="str">
        <v>Auckland</v>
      </c>
      <c r="J448" t="str">
        <v>New Zealand</v>
      </c>
      <c r="K448" t="str">
        <v>Piaggio</v>
      </c>
      <c r="L448" t="str">
        <v>Standard</v>
      </c>
      <c r="P448">
        <f t="shared" si="6"/>
        <v>1</v>
      </c>
    </row>
    <row r="449" spans="1:16" ht="14.5" x14ac:dyDescent="0.35">
      <c r="A449" s="12">
        <v>448</v>
      </c>
      <c r="B449" s="13" t="s">
        <v>11</v>
      </c>
      <c r="C449" s="12">
        <v>623</v>
      </c>
      <c r="D449" s="12">
        <v>2020</v>
      </c>
      <c r="E449" s="13" t="s">
        <v>289</v>
      </c>
      <c r="F449" s="13" t="s">
        <v>10</v>
      </c>
      <c r="G449" s="14">
        <v>44685</v>
      </c>
      <c r="H449" s="12">
        <v>102</v>
      </c>
      <c r="I449" t="str">
        <v>Auckland</v>
      </c>
      <c r="J449" t="str">
        <v>New Zealand</v>
      </c>
      <c r="K449" t="str">
        <v>Trailer</v>
      </c>
      <c r="L449" t="str">
        <v>Standard</v>
      </c>
      <c r="P449">
        <f t="shared" si="6"/>
        <v>2</v>
      </c>
    </row>
    <row r="450" spans="1:16" ht="14.5" x14ac:dyDescent="0.35">
      <c r="A450" s="12">
        <v>449</v>
      </c>
      <c r="B450" s="13" t="s">
        <v>8</v>
      </c>
      <c r="C450" s="12">
        <v>572</v>
      </c>
      <c r="D450" s="12">
        <v>2020</v>
      </c>
      <c r="E450" s="13" t="s">
        <v>46</v>
      </c>
      <c r="F450" s="13" t="s">
        <v>10</v>
      </c>
      <c r="G450" s="14">
        <v>44685</v>
      </c>
      <c r="H450" s="12">
        <v>114</v>
      </c>
      <c r="I450" t="str">
        <v>Canterbury</v>
      </c>
      <c r="J450" t="str">
        <v>New Zealand</v>
      </c>
      <c r="K450" t="str">
        <v>Lochiel</v>
      </c>
      <c r="L450" t="str">
        <v>Standard</v>
      </c>
      <c r="P450">
        <f t="shared" si="6"/>
        <v>1</v>
      </c>
    </row>
    <row r="451" spans="1:16" ht="14.5" x14ac:dyDescent="0.35">
      <c r="A451" s="12">
        <v>450</v>
      </c>
      <c r="B451" s="13" t="s">
        <v>8</v>
      </c>
      <c r="C451" s="12">
        <v>623</v>
      </c>
      <c r="D451" s="12">
        <v>1982</v>
      </c>
      <c r="E451" s="13" t="s">
        <v>290</v>
      </c>
      <c r="F451" s="13" t="s">
        <v>123</v>
      </c>
      <c r="G451" s="14">
        <v>44685</v>
      </c>
      <c r="H451" s="12">
        <v>101</v>
      </c>
      <c r="I451" t="str">
        <v>Northland</v>
      </c>
      <c r="J451" t="str">
        <v>New Zealand</v>
      </c>
      <c r="K451" t="str">
        <v>Trailer</v>
      </c>
      <c r="L451" t="str">
        <v>Standard</v>
      </c>
      <c r="P451">
        <f t="shared" ref="P451:P501" si="7">COUNTIFS($G$2:$G$501,G451,$K$2:$K$501,K451)</f>
        <v>2</v>
      </c>
    </row>
    <row r="452" spans="1:16" ht="14.5" x14ac:dyDescent="0.35">
      <c r="A452" s="12">
        <v>451</v>
      </c>
      <c r="B452" s="13" t="s">
        <v>8</v>
      </c>
      <c r="C452" s="12">
        <v>514</v>
      </c>
      <c r="D452" s="12">
        <v>2020</v>
      </c>
      <c r="E452" s="13" t="s">
        <v>232</v>
      </c>
      <c r="F452" s="13" t="s">
        <v>10</v>
      </c>
      <c r="G452" s="14">
        <v>44685</v>
      </c>
      <c r="H452" s="12">
        <v>115</v>
      </c>
      <c r="I452" t="str">
        <v>Otago</v>
      </c>
      <c r="J452" t="str">
        <v>New Zealand</v>
      </c>
      <c r="K452" t="str">
        <v>Briford</v>
      </c>
      <c r="L452" t="str">
        <v>Standard</v>
      </c>
      <c r="P452">
        <f t="shared" si="7"/>
        <v>2</v>
      </c>
    </row>
    <row r="453" spans="1:16" ht="14.5" x14ac:dyDescent="0.35">
      <c r="A453" s="12">
        <v>452</v>
      </c>
      <c r="B453" s="13" t="s">
        <v>8</v>
      </c>
      <c r="C453" s="12">
        <v>514</v>
      </c>
      <c r="D453" s="12">
        <v>2015</v>
      </c>
      <c r="E453" s="13" t="s">
        <v>22</v>
      </c>
      <c r="F453" s="13" t="s">
        <v>10</v>
      </c>
      <c r="G453" s="14">
        <v>44685</v>
      </c>
      <c r="H453" s="12">
        <v>114</v>
      </c>
      <c r="I453" t="str">
        <v>Canterbury</v>
      </c>
      <c r="J453" t="str">
        <v>New Zealand</v>
      </c>
      <c r="K453" t="str">
        <v>Briford</v>
      </c>
      <c r="L453" t="str">
        <v>Standard</v>
      </c>
      <c r="P453">
        <f t="shared" si="7"/>
        <v>2</v>
      </c>
    </row>
    <row r="454" spans="1:16" ht="14.5" x14ac:dyDescent="0.35">
      <c r="A454" s="12">
        <v>453</v>
      </c>
      <c r="B454" s="13" t="s">
        <v>16</v>
      </c>
      <c r="C454" s="12">
        <v>611</v>
      </c>
      <c r="D454" s="12">
        <v>2004</v>
      </c>
      <c r="E454" s="13" t="s">
        <v>291</v>
      </c>
      <c r="F454" s="13" t="s">
        <v>69</v>
      </c>
      <c r="G454" s="14">
        <v>44713</v>
      </c>
      <c r="H454" s="12">
        <v>114</v>
      </c>
      <c r="I454" t="str">
        <v>Canterbury</v>
      </c>
      <c r="J454" t="str">
        <v>New Zealand</v>
      </c>
      <c r="K454" t="str">
        <v>Suzuki</v>
      </c>
      <c r="L454" t="str">
        <v>Standard</v>
      </c>
      <c r="P454">
        <f t="shared" si="7"/>
        <v>1</v>
      </c>
    </row>
    <row r="455" spans="1:16" ht="14.5" x14ac:dyDescent="0.35">
      <c r="A455" s="12">
        <v>454</v>
      </c>
      <c r="B455" s="13" t="s">
        <v>25</v>
      </c>
      <c r="C455" s="12">
        <v>636</v>
      </c>
      <c r="D455" s="12">
        <v>1999</v>
      </c>
      <c r="E455" s="13" t="s">
        <v>292</v>
      </c>
      <c r="F455" s="13" t="s">
        <v>18</v>
      </c>
      <c r="G455" s="14">
        <v>44713</v>
      </c>
      <c r="H455" s="12">
        <v>107</v>
      </c>
      <c r="I455" t="str">
        <v>Taranaki</v>
      </c>
      <c r="J455" t="str">
        <v>New Zealand</v>
      </c>
      <c r="K455" t="str">
        <v>Yamaha</v>
      </c>
      <c r="L455" t="str">
        <v>Standard</v>
      </c>
      <c r="P455">
        <f t="shared" si="7"/>
        <v>1</v>
      </c>
    </row>
    <row r="456" spans="1:16" ht="14.5" x14ac:dyDescent="0.35">
      <c r="A456" s="12">
        <v>455</v>
      </c>
      <c r="B456" s="13" t="s">
        <v>37</v>
      </c>
      <c r="C456" s="12">
        <v>623</v>
      </c>
      <c r="D456" s="12">
        <v>1998</v>
      </c>
      <c r="E456" s="13" t="s">
        <v>293</v>
      </c>
      <c r="F456" s="13" t="s">
        <v>45</v>
      </c>
      <c r="G456" s="14">
        <v>44713</v>
      </c>
      <c r="H456" s="12">
        <v>102</v>
      </c>
      <c r="I456" t="str">
        <v>Auckland</v>
      </c>
      <c r="J456" t="str">
        <v>New Zealand</v>
      </c>
      <c r="K456" t="str">
        <v>Trailer</v>
      </c>
      <c r="L456" t="str">
        <v>Standard</v>
      </c>
      <c r="P456">
        <f t="shared" si="7"/>
        <v>2</v>
      </c>
    </row>
    <row r="457" spans="1:16" ht="14.5" x14ac:dyDescent="0.35">
      <c r="A457" s="12">
        <v>456</v>
      </c>
      <c r="B457" s="13" t="s">
        <v>61</v>
      </c>
      <c r="C457" s="12">
        <v>519</v>
      </c>
      <c r="D457" s="12">
        <v>1977</v>
      </c>
      <c r="E457" s="13" t="s">
        <v>294</v>
      </c>
      <c r="F457" s="13" t="s">
        <v>32</v>
      </c>
      <c r="G457" s="14">
        <v>44713</v>
      </c>
      <c r="H457" s="12">
        <v>102</v>
      </c>
      <c r="I457" t="str">
        <v>Auckland</v>
      </c>
      <c r="J457" t="str">
        <v>New Zealand</v>
      </c>
      <c r="K457" t="str">
        <v>Caravan</v>
      </c>
      <c r="L457" t="str">
        <v>Standard</v>
      </c>
      <c r="P457">
        <f t="shared" si="7"/>
        <v>1</v>
      </c>
    </row>
    <row r="458" spans="1:16" ht="14.5" x14ac:dyDescent="0.35">
      <c r="A458" s="12">
        <v>457</v>
      </c>
      <c r="B458" s="13" t="s">
        <v>8</v>
      </c>
      <c r="C458" s="12">
        <v>623</v>
      </c>
      <c r="D458" s="12">
        <v>2020</v>
      </c>
      <c r="E458" s="13" t="s">
        <v>53</v>
      </c>
      <c r="F458" s="13" t="s">
        <v>10</v>
      </c>
      <c r="G458" s="14">
        <v>44713</v>
      </c>
      <c r="H458" s="12">
        <v>104</v>
      </c>
      <c r="I458" t="str">
        <v>Bay of Plenty</v>
      </c>
      <c r="J458" t="str">
        <v>New Zealand</v>
      </c>
      <c r="K458" t="str">
        <v>Trailer</v>
      </c>
      <c r="L458" t="str">
        <v>Standard</v>
      </c>
      <c r="P458">
        <f t="shared" si="7"/>
        <v>2</v>
      </c>
    </row>
    <row r="459" spans="1:16" ht="14.5" x14ac:dyDescent="0.35">
      <c r="A459" s="12">
        <v>458</v>
      </c>
      <c r="B459" s="13" t="s">
        <v>11</v>
      </c>
      <c r="C459" s="12">
        <v>623</v>
      </c>
      <c r="D459" s="12">
        <v>2020</v>
      </c>
      <c r="E459" s="13" t="s">
        <v>295</v>
      </c>
      <c r="F459" s="13" t="s">
        <v>10</v>
      </c>
      <c r="G459" s="14">
        <v>44714</v>
      </c>
      <c r="H459" s="12">
        <v>104</v>
      </c>
      <c r="I459" t="str">
        <v>Bay of Plenty</v>
      </c>
      <c r="J459" t="str">
        <v>New Zealand</v>
      </c>
      <c r="K459" t="str">
        <v>Trailer</v>
      </c>
      <c r="L459" t="str">
        <v>Standard</v>
      </c>
      <c r="P459">
        <f t="shared" si="7"/>
        <v>1</v>
      </c>
    </row>
    <row r="460" spans="1:16" ht="14.5" x14ac:dyDescent="0.35">
      <c r="A460" s="12">
        <v>459</v>
      </c>
      <c r="B460" s="13" t="s">
        <v>16</v>
      </c>
      <c r="C460" s="12">
        <v>636</v>
      </c>
      <c r="D460" s="12">
        <v>2001</v>
      </c>
      <c r="E460" s="13" t="s">
        <v>296</v>
      </c>
      <c r="F460" s="13" t="s">
        <v>69</v>
      </c>
      <c r="G460" s="14">
        <v>44714</v>
      </c>
      <c r="H460" s="12">
        <v>102</v>
      </c>
      <c r="I460" t="str">
        <v>Auckland</v>
      </c>
      <c r="J460" t="str">
        <v>New Zealand</v>
      </c>
      <c r="K460" t="str">
        <v>Yamaha</v>
      </c>
      <c r="L460" t="str">
        <v>Standard</v>
      </c>
      <c r="P460">
        <f t="shared" si="7"/>
        <v>1</v>
      </c>
    </row>
    <row r="461" spans="1:16" ht="14.5" x14ac:dyDescent="0.35">
      <c r="A461" s="12">
        <v>460</v>
      </c>
      <c r="B461" s="13" t="s">
        <v>8</v>
      </c>
      <c r="C461" s="12">
        <v>623</v>
      </c>
      <c r="D461" s="12">
        <v>1999</v>
      </c>
      <c r="E461" s="13" t="s">
        <v>297</v>
      </c>
      <c r="F461" s="13" t="s">
        <v>10</v>
      </c>
      <c r="G461" s="14">
        <v>44715</v>
      </c>
      <c r="H461" s="12">
        <v>104</v>
      </c>
      <c r="I461" t="str">
        <v>Bay of Plenty</v>
      </c>
      <c r="J461" t="str">
        <v>New Zealand</v>
      </c>
      <c r="K461" t="str">
        <v>Trailer</v>
      </c>
      <c r="L461" t="str">
        <v>Standard</v>
      </c>
      <c r="P461">
        <f t="shared" si="7"/>
        <v>2</v>
      </c>
    </row>
    <row r="462" spans="1:16" ht="14.5" x14ac:dyDescent="0.35">
      <c r="A462" s="12">
        <v>461</v>
      </c>
      <c r="B462" s="13" t="s">
        <v>11</v>
      </c>
      <c r="C462" s="12">
        <v>623</v>
      </c>
      <c r="D462" s="12">
        <v>2020</v>
      </c>
      <c r="E462" s="13" t="s">
        <v>129</v>
      </c>
      <c r="F462" s="13" t="s">
        <v>10</v>
      </c>
      <c r="G462" s="14">
        <v>44715</v>
      </c>
      <c r="H462" s="12">
        <v>109</v>
      </c>
      <c r="I462" t="str">
        <v>Wellington</v>
      </c>
      <c r="J462" t="str">
        <v>New Zealand</v>
      </c>
      <c r="K462" t="str">
        <v>Trailer</v>
      </c>
      <c r="L462" t="str">
        <v>Standard</v>
      </c>
      <c r="P462">
        <f t="shared" si="7"/>
        <v>2</v>
      </c>
    </row>
    <row r="463" spans="1:16" ht="14.5" x14ac:dyDescent="0.35">
      <c r="A463" s="12">
        <v>462</v>
      </c>
      <c r="B463" s="13" t="s">
        <v>8</v>
      </c>
      <c r="C463" s="12">
        <v>623</v>
      </c>
      <c r="D463" s="12">
        <v>2020</v>
      </c>
      <c r="E463" s="13" t="s">
        <v>115</v>
      </c>
      <c r="F463" s="13" t="s">
        <v>10</v>
      </c>
      <c r="G463" s="14">
        <v>44743</v>
      </c>
      <c r="H463" s="12">
        <v>109</v>
      </c>
      <c r="I463" t="str">
        <v>Wellington</v>
      </c>
      <c r="J463" t="str">
        <v>New Zealand</v>
      </c>
      <c r="K463" t="str">
        <v>Trailer</v>
      </c>
      <c r="L463" t="str">
        <v>Standard</v>
      </c>
      <c r="P463">
        <f t="shared" si="7"/>
        <v>2</v>
      </c>
    </row>
    <row r="464" spans="1:16" ht="14.5" x14ac:dyDescent="0.35">
      <c r="A464" s="12">
        <v>463</v>
      </c>
      <c r="B464" s="13" t="s">
        <v>8</v>
      </c>
      <c r="C464" s="12">
        <v>623</v>
      </c>
      <c r="D464" s="12">
        <v>2021</v>
      </c>
      <c r="E464" s="13" t="s">
        <v>51</v>
      </c>
      <c r="F464" s="13" t="s">
        <v>10</v>
      </c>
      <c r="G464" s="14">
        <v>44743</v>
      </c>
      <c r="H464" s="12">
        <v>115</v>
      </c>
      <c r="I464" t="str">
        <v>Otago</v>
      </c>
      <c r="J464" t="str">
        <v>New Zealand</v>
      </c>
      <c r="K464" t="str">
        <v>Trailer</v>
      </c>
      <c r="L464" t="str">
        <v>Standard</v>
      </c>
      <c r="P464">
        <f t="shared" si="7"/>
        <v>2</v>
      </c>
    </row>
    <row r="465" spans="1:16" ht="14.5" x14ac:dyDescent="0.35">
      <c r="A465" s="12">
        <v>464</v>
      </c>
      <c r="B465" s="13" t="s">
        <v>8</v>
      </c>
      <c r="C465" s="12">
        <v>549</v>
      </c>
      <c r="D465" s="12">
        <v>2021</v>
      </c>
      <c r="E465" s="13" t="s">
        <v>46</v>
      </c>
      <c r="F465" s="13" t="s">
        <v>18</v>
      </c>
      <c r="G465" s="14">
        <v>44745</v>
      </c>
      <c r="H465" s="12">
        <v>101</v>
      </c>
      <c r="I465" t="str">
        <v>Northland</v>
      </c>
      <c r="J465" t="str">
        <v>New Zealand</v>
      </c>
      <c r="K465" t="str">
        <v>Homebuilt</v>
      </c>
      <c r="L465" t="str">
        <v>Standard</v>
      </c>
      <c r="P465">
        <f t="shared" si="7"/>
        <v>1</v>
      </c>
    </row>
    <row r="466" spans="1:16" ht="14.5" x14ac:dyDescent="0.35">
      <c r="A466" s="12">
        <v>465</v>
      </c>
      <c r="B466" s="13" t="s">
        <v>8</v>
      </c>
      <c r="C466" s="12">
        <v>623</v>
      </c>
      <c r="D466" s="12">
        <v>2019</v>
      </c>
      <c r="E466" s="13" t="s">
        <v>58</v>
      </c>
      <c r="F466" s="13" t="s">
        <v>45</v>
      </c>
      <c r="G466" s="14">
        <v>44745</v>
      </c>
      <c r="H466" s="12">
        <v>103</v>
      </c>
      <c r="I466" t="str">
        <v>Waikato</v>
      </c>
      <c r="J466" t="str">
        <v>New Zealand</v>
      </c>
      <c r="K466" t="str">
        <v>Trailer</v>
      </c>
      <c r="L466" t="str">
        <v>Standard</v>
      </c>
      <c r="P466">
        <f t="shared" si="7"/>
        <v>1</v>
      </c>
    </row>
    <row r="467" spans="1:16" ht="14.5" x14ac:dyDescent="0.35">
      <c r="A467" s="12">
        <v>466</v>
      </c>
      <c r="B467" s="13" t="s">
        <v>16</v>
      </c>
      <c r="C467" s="12">
        <v>505</v>
      </c>
      <c r="D467" s="12">
        <v>2008</v>
      </c>
      <c r="E467" s="13" t="s">
        <v>298</v>
      </c>
      <c r="F467" s="13" t="s">
        <v>18</v>
      </c>
      <c r="G467" s="14">
        <v>44745</v>
      </c>
      <c r="H467" s="12">
        <v>114</v>
      </c>
      <c r="I467" t="str">
        <v>Canterbury</v>
      </c>
      <c r="J467" t="str">
        <v>New Zealand</v>
      </c>
      <c r="K467" t="str">
        <v>Aprilia</v>
      </c>
      <c r="L467" t="str">
        <v>Standard</v>
      </c>
      <c r="P467">
        <f t="shared" si="7"/>
        <v>1</v>
      </c>
    </row>
    <row r="468" spans="1:16" ht="14.5" x14ac:dyDescent="0.35">
      <c r="A468" s="12">
        <v>467</v>
      </c>
      <c r="B468" s="13" t="s">
        <v>16</v>
      </c>
      <c r="C468" s="12">
        <v>550</v>
      </c>
      <c r="D468" s="12">
        <v>2009</v>
      </c>
      <c r="E468" s="13" t="s">
        <v>299</v>
      </c>
      <c r="F468" s="13" t="s">
        <v>10</v>
      </c>
      <c r="G468" s="14">
        <v>44745</v>
      </c>
      <c r="H468" s="12">
        <v>114</v>
      </c>
      <c r="I468" t="str">
        <v>Canterbury</v>
      </c>
      <c r="J468" t="str">
        <v>New Zealand</v>
      </c>
      <c r="K468" t="str">
        <v>Honda</v>
      </c>
      <c r="L468" t="str">
        <v>Standard</v>
      </c>
      <c r="P468">
        <f t="shared" si="7"/>
        <v>1</v>
      </c>
    </row>
    <row r="469" spans="1:16" ht="14.5" x14ac:dyDescent="0.35">
      <c r="A469" s="12">
        <v>468</v>
      </c>
      <c r="B469" s="13" t="s">
        <v>37</v>
      </c>
      <c r="C469" s="12">
        <v>558</v>
      </c>
      <c r="D469" s="12">
        <v>2017</v>
      </c>
      <c r="E469" s="13" t="s">
        <v>300</v>
      </c>
      <c r="F469" s="13" t="s">
        <v>32</v>
      </c>
      <c r="G469" s="14">
        <v>44774</v>
      </c>
      <c r="H469" s="12">
        <v>102</v>
      </c>
      <c r="I469" t="str">
        <v>Auckland</v>
      </c>
      <c r="J469" t="str">
        <v>New Zealand</v>
      </c>
      <c r="K469" t="str">
        <v>Jayco</v>
      </c>
      <c r="L469" t="str">
        <v>Standard</v>
      </c>
      <c r="P469">
        <f t="shared" si="7"/>
        <v>1</v>
      </c>
    </row>
    <row r="470" spans="1:16" ht="14.5" x14ac:dyDescent="0.35">
      <c r="A470" s="12">
        <v>469</v>
      </c>
      <c r="B470" s="13" t="s">
        <v>8</v>
      </c>
      <c r="C470" s="12">
        <v>623</v>
      </c>
      <c r="D470" s="12">
        <v>2017</v>
      </c>
      <c r="E470" s="13" t="s">
        <v>301</v>
      </c>
      <c r="F470" s="13" t="s">
        <v>10</v>
      </c>
      <c r="G470" s="14">
        <v>44775</v>
      </c>
      <c r="H470" s="12">
        <v>102</v>
      </c>
      <c r="I470" t="str">
        <v>Auckland</v>
      </c>
      <c r="J470" t="str">
        <v>New Zealand</v>
      </c>
      <c r="K470" t="str">
        <v>Trailer</v>
      </c>
      <c r="L470" t="str">
        <v>Standard</v>
      </c>
      <c r="P470">
        <f t="shared" si="7"/>
        <v>2</v>
      </c>
    </row>
    <row r="471" spans="1:16" ht="14.5" x14ac:dyDescent="0.35">
      <c r="A471" s="12">
        <v>470</v>
      </c>
      <c r="B471" s="13" t="s">
        <v>8</v>
      </c>
      <c r="C471" s="12">
        <v>623</v>
      </c>
      <c r="D471" s="12">
        <v>2017</v>
      </c>
      <c r="E471" s="13" t="s">
        <v>302</v>
      </c>
      <c r="F471" s="13" t="s">
        <v>10</v>
      </c>
      <c r="G471" s="14">
        <v>44775</v>
      </c>
      <c r="H471" s="12">
        <v>102</v>
      </c>
      <c r="I471" t="str">
        <v>Auckland</v>
      </c>
      <c r="J471" t="str">
        <v>New Zealand</v>
      </c>
      <c r="K471" t="str">
        <v>Trailer</v>
      </c>
      <c r="L471" t="str">
        <v>Standard</v>
      </c>
      <c r="P471">
        <f t="shared" si="7"/>
        <v>2</v>
      </c>
    </row>
    <row r="472" spans="1:16" ht="14.5" x14ac:dyDescent="0.35">
      <c r="A472" s="12">
        <v>471</v>
      </c>
      <c r="B472" s="13" t="s">
        <v>8</v>
      </c>
      <c r="C472" s="12">
        <v>514</v>
      </c>
      <c r="D472" s="12">
        <v>2017</v>
      </c>
      <c r="E472" s="13" t="s">
        <v>132</v>
      </c>
      <c r="F472" s="13" t="s">
        <v>10</v>
      </c>
      <c r="G472" s="14">
        <v>44776</v>
      </c>
      <c r="H472" s="12">
        <v>103</v>
      </c>
      <c r="I472" t="str">
        <v>Waikato</v>
      </c>
      <c r="J472" t="str">
        <v>New Zealand</v>
      </c>
      <c r="K472" t="str">
        <v>Briford</v>
      </c>
      <c r="L472" t="str">
        <v>Standard</v>
      </c>
      <c r="P472">
        <f t="shared" si="7"/>
        <v>2</v>
      </c>
    </row>
    <row r="473" spans="1:16" ht="14.5" x14ac:dyDescent="0.35">
      <c r="A473" s="12">
        <v>472</v>
      </c>
      <c r="B473" s="13" t="s">
        <v>8</v>
      </c>
      <c r="C473" s="12">
        <v>623</v>
      </c>
      <c r="D473" s="12">
        <v>2017</v>
      </c>
      <c r="E473" s="13" t="s">
        <v>303</v>
      </c>
      <c r="F473" s="13" t="s">
        <v>10</v>
      </c>
      <c r="G473" s="14">
        <v>44776</v>
      </c>
      <c r="H473" s="12">
        <v>103</v>
      </c>
      <c r="I473" t="str">
        <v>Waikato</v>
      </c>
      <c r="J473" t="str">
        <v>New Zealand</v>
      </c>
      <c r="K473" t="str">
        <v>Trailer</v>
      </c>
      <c r="L473" t="str">
        <v>Standard</v>
      </c>
      <c r="P473">
        <f t="shared" si="7"/>
        <v>3</v>
      </c>
    </row>
    <row r="474" spans="1:16" ht="14.5" x14ac:dyDescent="0.35">
      <c r="A474" s="12">
        <v>473</v>
      </c>
      <c r="B474" s="13" t="s">
        <v>8</v>
      </c>
      <c r="C474" s="12">
        <v>623</v>
      </c>
      <c r="D474" s="12">
        <v>2017</v>
      </c>
      <c r="E474" s="13" t="s">
        <v>304</v>
      </c>
      <c r="F474" s="13" t="s">
        <v>10</v>
      </c>
      <c r="G474" s="14">
        <v>44776</v>
      </c>
      <c r="H474" s="12">
        <v>107</v>
      </c>
      <c r="I474" t="str">
        <v>Taranaki</v>
      </c>
      <c r="J474" t="str">
        <v>New Zealand</v>
      </c>
      <c r="K474" t="str">
        <v>Trailer</v>
      </c>
      <c r="L474" t="str">
        <v>Standard</v>
      </c>
      <c r="P474">
        <f t="shared" si="7"/>
        <v>3</v>
      </c>
    </row>
    <row r="475" spans="1:16" ht="14.5" x14ac:dyDescent="0.35">
      <c r="A475" s="12">
        <v>474</v>
      </c>
      <c r="B475" s="13" t="s">
        <v>8</v>
      </c>
      <c r="C475" s="12">
        <v>514</v>
      </c>
      <c r="D475" s="12">
        <v>2017</v>
      </c>
      <c r="E475" s="13" t="s">
        <v>209</v>
      </c>
      <c r="F475" s="13" t="s">
        <v>10</v>
      </c>
      <c r="G475" s="14">
        <v>44776</v>
      </c>
      <c r="H475" s="12">
        <v>115</v>
      </c>
      <c r="I475" t="str">
        <v>Otago</v>
      </c>
      <c r="J475" t="str">
        <v>New Zealand</v>
      </c>
      <c r="K475" t="str">
        <v>Briford</v>
      </c>
      <c r="L475" t="str">
        <v>Standard</v>
      </c>
      <c r="P475">
        <f t="shared" si="7"/>
        <v>2</v>
      </c>
    </row>
    <row r="476" spans="1:16" ht="14.5" x14ac:dyDescent="0.35">
      <c r="A476" s="12">
        <v>475</v>
      </c>
      <c r="B476" s="13" t="s">
        <v>8</v>
      </c>
      <c r="C476" s="12">
        <v>549</v>
      </c>
      <c r="D476" s="12">
        <v>1976</v>
      </c>
      <c r="E476" s="13" t="s">
        <v>46</v>
      </c>
      <c r="F476" s="13" t="s">
        <v>32</v>
      </c>
      <c r="G476" s="14">
        <v>44776</v>
      </c>
      <c r="H476" s="12">
        <v>104</v>
      </c>
      <c r="I476" t="str">
        <v>Bay of Plenty</v>
      </c>
      <c r="J476" t="str">
        <v>New Zealand</v>
      </c>
      <c r="K476" t="str">
        <v>Homebuilt</v>
      </c>
      <c r="L476" t="str">
        <v>Standard</v>
      </c>
      <c r="P476">
        <f t="shared" si="7"/>
        <v>1</v>
      </c>
    </row>
    <row r="477" spans="1:16" ht="14.5" x14ac:dyDescent="0.35">
      <c r="A477" s="12">
        <v>476</v>
      </c>
      <c r="B477" s="13" t="s">
        <v>8</v>
      </c>
      <c r="C477" s="12">
        <v>623</v>
      </c>
      <c r="D477" s="12">
        <v>2017</v>
      </c>
      <c r="E477" s="13" t="s">
        <v>305</v>
      </c>
      <c r="F477" s="13" t="s">
        <v>10</v>
      </c>
      <c r="G477" s="14">
        <v>44776</v>
      </c>
      <c r="H477" s="12">
        <v>102</v>
      </c>
      <c r="I477" t="str">
        <v>Auckland</v>
      </c>
      <c r="J477" t="str">
        <v>New Zealand</v>
      </c>
      <c r="K477" t="str">
        <v>Trailer</v>
      </c>
      <c r="L477" t="str">
        <v>Standard</v>
      </c>
      <c r="P477">
        <f t="shared" si="7"/>
        <v>3</v>
      </c>
    </row>
    <row r="478" spans="1:16" ht="14.5" x14ac:dyDescent="0.35">
      <c r="A478" s="12">
        <v>477</v>
      </c>
      <c r="B478" s="13" t="s">
        <v>8</v>
      </c>
      <c r="C478" s="12">
        <v>623</v>
      </c>
      <c r="D478" s="12">
        <v>2017</v>
      </c>
      <c r="E478" s="13" t="s">
        <v>306</v>
      </c>
      <c r="F478" s="13" t="s">
        <v>18</v>
      </c>
      <c r="G478" s="14">
        <v>44805</v>
      </c>
      <c r="H478" s="12">
        <v>102</v>
      </c>
      <c r="I478" t="str">
        <v>Auckland</v>
      </c>
      <c r="J478" t="str">
        <v>New Zealand</v>
      </c>
      <c r="K478" t="str">
        <v>Trailer</v>
      </c>
      <c r="L478" t="str">
        <v>Standard</v>
      </c>
      <c r="P478">
        <f t="shared" si="7"/>
        <v>2</v>
      </c>
    </row>
    <row r="479" spans="1:16" ht="14.5" x14ac:dyDescent="0.35">
      <c r="A479" s="12">
        <v>478</v>
      </c>
      <c r="B479" s="13" t="s">
        <v>8</v>
      </c>
      <c r="C479" s="12">
        <v>562</v>
      </c>
      <c r="D479" s="12">
        <v>2017</v>
      </c>
      <c r="E479" s="13" t="s">
        <v>307</v>
      </c>
      <c r="F479" s="13" t="s">
        <v>10</v>
      </c>
      <c r="G479" s="14">
        <v>44805</v>
      </c>
      <c r="H479" s="12">
        <v>114</v>
      </c>
      <c r="I479" t="str">
        <v>Canterbury</v>
      </c>
      <c r="J479" t="str">
        <v>New Zealand</v>
      </c>
      <c r="K479" t="str">
        <v>Kea</v>
      </c>
      <c r="L479" t="str">
        <v>Standard</v>
      </c>
      <c r="P479">
        <f t="shared" si="7"/>
        <v>1</v>
      </c>
    </row>
    <row r="480" spans="1:16" ht="14.5" x14ac:dyDescent="0.35">
      <c r="A480" s="12">
        <v>479</v>
      </c>
      <c r="B480" s="13" t="s">
        <v>8</v>
      </c>
      <c r="C480" s="12">
        <v>623</v>
      </c>
      <c r="D480" s="12">
        <v>2017</v>
      </c>
      <c r="E480" s="13" t="s">
        <v>308</v>
      </c>
      <c r="F480" s="13" t="s">
        <v>10</v>
      </c>
      <c r="G480" s="14">
        <v>44805</v>
      </c>
      <c r="H480" s="12">
        <v>103</v>
      </c>
      <c r="I480" t="str">
        <v>Waikato</v>
      </c>
      <c r="J480" t="str">
        <v>New Zealand</v>
      </c>
      <c r="K480" t="str">
        <v>Trailer</v>
      </c>
      <c r="L480" t="str">
        <v>Standard</v>
      </c>
      <c r="P480">
        <f t="shared" si="7"/>
        <v>2</v>
      </c>
    </row>
    <row r="481" spans="1:16" ht="14.5" x14ac:dyDescent="0.35">
      <c r="A481" s="12">
        <v>480</v>
      </c>
      <c r="B481" s="13" t="s">
        <v>11</v>
      </c>
      <c r="C481" s="12">
        <v>623</v>
      </c>
      <c r="D481" s="12">
        <v>2017</v>
      </c>
      <c r="E481" s="13" t="s">
        <v>23</v>
      </c>
      <c r="F481" s="13" t="s">
        <v>10</v>
      </c>
      <c r="G481" s="14">
        <v>44806</v>
      </c>
      <c r="H481" s="12">
        <v>114</v>
      </c>
      <c r="I481" t="str">
        <v>Canterbury</v>
      </c>
      <c r="J481" t="str">
        <v>New Zealand</v>
      </c>
      <c r="K481" t="str">
        <v>Trailer</v>
      </c>
      <c r="L481" t="str">
        <v>Standard</v>
      </c>
      <c r="P481">
        <f t="shared" si="7"/>
        <v>1</v>
      </c>
    </row>
    <row r="482" spans="1:16" ht="14.5" x14ac:dyDescent="0.35">
      <c r="A482" s="12">
        <v>481</v>
      </c>
      <c r="B482" s="13" t="s">
        <v>8</v>
      </c>
      <c r="C482" s="12">
        <v>623</v>
      </c>
      <c r="D482" s="12">
        <v>2008</v>
      </c>
      <c r="E482" s="13" t="s">
        <v>309</v>
      </c>
      <c r="F482" s="13" t="s">
        <v>10</v>
      </c>
      <c r="G482" s="14">
        <v>44807</v>
      </c>
      <c r="H482" s="12">
        <v>108</v>
      </c>
      <c r="I482" t="str">
        <v>Manawatū-Whanganui</v>
      </c>
      <c r="J482" t="str">
        <v>New Zealand</v>
      </c>
      <c r="K482" t="str">
        <v>Trailer</v>
      </c>
      <c r="L482" t="str">
        <v>Standard</v>
      </c>
      <c r="P482">
        <f t="shared" si="7"/>
        <v>3</v>
      </c>
    </row>
    <row r="483" spans="1:16" ht="14.5" x14ac:dyDescent="0.35">
      <c r="A483" s="12">
        <v>482</v>
      </c>
      <c r="B483" s="13" t="s">
        <v>11</v>
      </c>
      <c r="C483" s="12">
        <v>636</v>
      </c>
      <c r="D483" s="12">
        <v>2017</v>
      </c>
      <c r="E483" s="13" t="s">
        <v>310</v>
      </c>
      <c r="F483" s="13" t="s">
        <v>10</v>
      </c>
      <c r="G483" s="14">
        <v>44807</v>
      </c>
      <c r="H483" s="12">
        <v>102</v>
      </c>
      <c r="I483" t="str">
        <v>Auckland</v>
      </c>
      <c r="J483" t="str">
        <v>New Zealand</v>
      </c>
      <c r="K483" t="str">
        <v>Yamaha</v>
      </c>
      <c r="L483" t="str">
        <v>Standard</v>
      </c>
      <c r="P483">
        <f t="shared" si="7"/>
        <v>1</v>
      </c>
    </row>
    <row r="484" spans="1:16" ht="14.5" x14ac:dyDescent="0.35">
      <c r="A484" s="12">
        <v>483</v>
      </c>
      <c r="B484" s="13" t="s">
        <v>8</v>
      </c>
      <c r="C484" s="12">
        <v>623</v>
      </c>
      <c r="D484" s="12">
        <v>2017</v>
      </c>
      <c r="E484" s="13" t="s">
        <v>240</v>
      </c>
      <c r="F484" s="13" t="s">
        <v>10</v>
      </c>
      <c r="G484" s="14">
        <v>44807</v>
      </c>
      <c r="H484" s="12">
        <v>102</v>
      </c>
      <c r="I484" t="str">
        <v>Auckland</v>
      </c>
      <c r="J484" t="str">
        <v>New Zealand</v>
      </c>
      <c r="K484" t="str">
        <v>Trailer</v>
      </c>
      <c r="L484" t="str">
        <v>Standard</v>
      </c>
      <c r="P484">
        <f t="shared" si="7"/>
        <v>3</v>
      </c>
    </row>
    <row r="485" spans="1:16" ht="14.5" x14ac:dyDescent="0.35">
      <c r="A485" s="12">
        <v>484</v>
      </c>
      <c r="B485" s="13" t="s">
        <v>8</v>
      </c>
      <c r="C485" s="12">
        <v>623</v>
      </c>
      <c r="D485" s="12">
        <v>2017</v>
      </c>
      <c r="E485" s="13" t="s">
        <v>23</v>
      </c>
      <c r="F485" s="13" t="s">
        <v>10</v>
      </c>
      <c r="G485" s="14">
        <v>44807</v>
      </c>
      <c r="H485" s="12">
        <v>114</v>
      </c>
      <c r="I485" t="str">
        <v>Canterbury</v>
      </c>
      <c r="J485" t="str">
        <v>New Zealand</v>
      </c>
      <c r="K485" t="str">
        <v>Trailer</v>
      </c>
      <c r="L485" t="str">
        <v>Standard</v>
      </c>
      <c r="P485">
        <f t="shared" si="7"/>
        <v>3</v>
      </c>
    </row>
    <row r="486" spans="1:16" ht="14.5" x14ac:dyDescent="0.35">
      <c r="A486" s="12">
        <v>485</v>
      </c>
      <c r="B486" s="13" t="s">
        <v>8</v>
      </c>
      <c r="C486" s="12">
        <v>562</v>
      </c>
      <c r="D486" s="12">
        <v>2008</v>
      </c>
      <c r="E486" s="13" t="s">
        <v>311</v>
      </c>
      <c r="F486" s="13" t="s">
        <v>10</v>
      </c>
      <c r="G486" s="14">
        <v>44835</v>
      </c>
      <c r="H486" s="12">
        <v>108</v>
      </c>
      <c r="I486" t="str">
        <v>Manawatū-Whanganui</v>
      </c>
      <c r="J486" t="str">
        <v>New Zealand</v>
      </c>
      <c r="K486" t="str">
        <v>Kea</v>
      </c>
      <c r="L486" t="str">
        <v>Standard</v>
      </c>
      <c r="P486">
        <f t="shared" si="7"/>
        <v>1</v>
      </c>
    </row>
    <row r="487" spans="1:16" ht="14.5" x14ac:dyDescent="0.35">
      <c r="A487" s="12">
        <v>486</v>
      </c>
      <c r="B487" s="13" t="s">
        <v>8</v>
      </c>
      <c r="C487" s="12">
        <v>623</v>
      </c>
      <c r="D487" s="12">
        <v>2017</v>
      </c>
      <c r="E487" s="13" t="s">
        <v>73</v>
      </c>
      <c r="F487" s="13" t="s">
        <v>10</v>
      </c>
      <c r="G487" s="14">
        <v>44835</v>
      </c>
      <c r="H487" s="12">
        <v>102</v>
      </c>
      <c r="I487" t="str">
        <v>Auckland</v>
      </c>
      <c r="J487" t="str">
        <v>New Zealand</v>
      </c>
      <c r="K487" t="str">
        <v>Trailer</v>
      </c>
      <c r="L487" t="str">
        <v>Standard</v>
      </c>
      <c r="P487">
        <f t="shared" si="7"/>
        <v>2</v>
      </c>
    </row>
    <row r="488" spans="1:16" ht="14.5" x14ac:dyDescent="0.35">
      <c r="A488" s="12">
        <v>487</v>
      </c>
      <c r="B488" s="13" t="s">
        <v>8</v>
      </c>
      <c r="C488" s="12">
        <v>623</v>
      </c>
      <c r="D488" s="12">
        <v>2009</v>
      </c>
      <c r="E488" s="13" t="s">
        <v>33</v>
      </c>
      <c r="F488" s="13" t="s">
        <v>10</v>
      </c>
      <c r="G488" s="14">
        <v>44835</v>
      </c>
      <c r="H488" s="12">
        <v>103</v>
      </c>
      <c r="I488" t="str">
        <v>Waikato</v>
      </c>
      <c r="J488" t="str">
        <v>New Zealand</v>
      </c>
      <c r="K488" t="str">
        <v>Trailer</v>
      </c>
      <c r="L488" t="str">
        <v>Standard</v>
      </c>
      <c r="P488">
        <f t="shared" si="7"/>
        <v>2</v>
      </c>
    </row>
    <row r="489" spans="1:16" ht="14.5" x14ac:dyDescent="0.35">
      <c r="A489" s="12">
        <v>488</v>
      </c>
      <c r="B489" s="13" t="s">
        <v>8</v>
      </c>
      <c r="C489" s="12">
        <v>623</v>
      </c>
      <c r="D489" s="12">
        <v>2020</v>
      </c>
      <c r="E489" s="13" t="s">
        <v>100</v>
      </c>
      <c r="F489" s="13" t="s">
        <v>10</v>
      </c>
      <c r="G489" s="14">
        <v>44836</v>
      </c>
      <c r="H489" s="12">
        <v>104</v>
      </c>
      <c r="I489" t="str">
        <v>Bay of Plenty</v>
      </c>
      <c r="J489" t="str">
        <v>New Zealand</v>
      </c>
      <c r="K489" t="str">
        <v>Trailer</v>
      </c>
      <c r="L489" t="str">
        <v>Standard</v>
      </c>
      <c r="P489">
        <f t="shared" si="7"/>
        <v>2</v>
      </c>
    </row>
    <row r="490" spans="1:16" ht="14.5" x14ac:dyDescent="0.35">
      <c r="A490" s="12">
        <v>489</v>
      </c>
      <c r="B490" s="13" t="s">
        <v>11</v>
      </c>
      <c r="C490" s="12">
        <v>623</v>
      </c>
      <c r="D490" s="12">
        <v>2020</v>
      </c>
      <c r="E490" s="13" t="s">
        <v>275</v>
      </c>
      <c r="F490" s="13" t="s">
        <v>45</v>
      </c>
      <c r="G490" s="14">
        <v>44836</v>
      </c>
      <c r="H490" s="12">
        <v>114</v>
      </c>
      <c r="I490" t="str">
        <v>Canterbury</v>
      </c>
      <c r="J490" t="str">
        <v>New Zealand</v>
      </c>
      <c r="K490" t="str">
        <v>Trailer</v>
      </c>
      <c r="L490" t="str">
        <v>Standard</v>
      </c>
      <c r="P490">
        <f t="shared" si="7"/>
        <v>2</v>
      </c>
    </row>
    <row r="491" spans="1:16" ht="14.5" x14ac:dyDescent="0.35">
      <c r="A491" s="12">
        <v>490</v>
      </c>
      <c r="B491" s="13" t="s">
        <v>8</v>
      </c>
      <c r="C491" s="12">
        <v>584</v>
      </c>
      <c r="D491" s="12">
        <v>2008</v>
      </c>
      <c r="E491" s="13" t="s">
        <v>46</v>
      </c>
      <c r="F491" s="13" t="s">
        <v>10</v>
      </c>
      <c r="G491" s="14">
        <v>44836</v>
      </c>
      <c r="H491" s="12">
        <v>102</v>
      </c>
      <c r="I491" t="str">
        <v>Auckland</v>
      </c>
      <c r="J491" t="str">
        <v>New Zealand</v>
      </c>
      <c r="K491" t="str">
        <v>Mono - Way</v>
      </c>
      <c r="L491" t="str">
        <v>Standard</v>
      </c>
      <c r="P491">
        <f t="shared" si="7"/>
        <v>1</v>
      </c>
    </row>
    <row r="492" spans="1:16" ht="14.5" x14ac:dyDescent="0.35">
      <c r="A492" s="12">
        <v>491</v>
      </c>
      <c r="B492" s="13" t="s">
        <v>16</v>
      </c>
      <c r="C492" s="12">
        <v>550</v>
      </c>
      <c r="D492" s="12">
        <v>1985</v>
      </c>
      <c r="E492" s="13" t="s">
        <v>312</v>
      </c>
      <c r="F492" s="13" t="s">
        <v>32</v>
      </c>
      <c r="G492" s="14">
        <v>44837</v>
      </c>
      <c r="H492" s="12">
        <v>102</v>
      </c>
      <c r="I492" t="str">
        <v>Auckland</v>
      </c>
      <c r="J492" t="str">
        <v>New Zealand</v>
      </c>
      <c r="K492" t="str">
        <v>Honda</v>
      </c>
      <c r="L492" t="str">
        <v>Standard</v>
      </c>
      <c r="P492">
        <f t="shared" si="7"/>
        <v>1</v>
      </c>
    </row>
    <row r="493" spans="1:16" ht="14.5" x14ac:dyDescent="0.35">
      <c r="A493" s="12">
        <v>492</v>
      </c>
      <c r="B493" s="13" t="s">
        <v>16</v>
      </c>
      <c r="C493" s="12">
        <v>611</v>
      </c>
      <c r="D493" s="12">
        <v>2005</v>
      </c>
      <c r="E493" s="13" t="s">
        <v>169</v>
      </c>
      <c r="F493" s="13" t="s">
        <v>28</v>
      </c>
      <c r="G493" s="14">
        <v>44837</v>
      </c>
      <c r="H493" s="12">
        <v>102</v>
      </c>
      <c r="I493" t="str">
        <v>Auckland</v>
      </c>
      <c r="J493" t="str">
        <v>New Zealand</v>
      </c>
      <c r="K493" t="str">
        <v>Suzuki</v>
      </c>
      <c r="L493" t="str">
        <v>Standard</v>
      </c>
      <c r="P493">
        <f t="shared" si="7"/>
        <v>1</v>
      </c>
    </row>
    <row r="494" spans="1:16" ht="14.5" x14ac:dyDescent="0.35">
      <c r="A494" s="12">
        <v>493</v>
      </c>
      <c r="B494" s="13" t="s">
        <v>11</v>
      </c>
      <c r="C494" s="12">
        <v>623</v>
      </c>
      <c r="D494" s="12">
        <v>1990</v>
      </c>
      <c r="E494" s="13" t="s">
        <v>79</v>
      </c>
      <c r="F494" s="13" t="s">
        <v>32</v>
      </c>
      <c r="G494" s="14">
        <v>44837</v>
      </c>
      <c r="H494" s="12">
        <v>102</v>
      </c>
      <c r="I494" t="str">
        <v>Auckland</v>
      </c>
      <c r="J494" t="str">
        <v>New Zealand</v>
      </c>
      <c r="K494" t="str">
        <v>Trailer</v>
      </c>
      <c r="L494" t="str">
        <v>Standard</v>
      </c>
      <c r="P494">
        <f t="shared" si="7"/>
        <v>3</v>
      </c>
    </row>
    <row r="495" spans="1:16" ht="14.5" x14ac:dyDescent="0.35">
      <c r="A495" s="12">
        <v>494</v>
      </c>
      <c r="B495" s="13" t="s">
        <v>8</v>
      </c>
      <c r="C495" s="12">
        <v>623</v>
      </c>
      <c r="D495" s="12">
        <v>2021</v>
      </c>
      <c r="E495" s="13" t="s">
        <v>313</v>
      </c>
      <c r="F495" s="13" t="s">
        <v>32</v>
      </c>
      <c r="G495" s="14">
        <v>44837</v>
      </c>
      <c r="H495" s="12">
        <v>106</v>
      </c>
      <c r="I495" t="str">
        <v>Hawke's Bay</v>
      </c>
      <c r="J495" t="str">
        <v>New Zealand</v>
      </c>
      <c r="K495" t="str">
        <v>Trailer</v>
      </c>
      <c r="L495" t="str">
        <v>Standard</v>
      </c>
      <c r="P495">
        <f t="shared" si="7"/>
        <v>3</v>
      </c>
    </row>
    <row r="496" spans="1:16" ht="14.5" x14ac:dyDescent="0.35">
      <c r="A496" s="12">
        <v>495</v>
      </c>
      <c r="B496" s="13" t="s">
        <v>8</v>
      </c>
      <c r="C496" s="12">
        <v>623</v>
      </c>
      <c r="D496" s="12">
        <v>2021</v>
      </c>
      <c r="E496" s="13" t="s">
        <v>314</v>
      </c>
      <c r="F496" s="13" t="s">
        <v>45</v>
      </c>
      <c r="G496" s="14">
        <v>44837</v>
      </c>
      <c r="H496" s="12">
        <v>102</v>
      </c>
      <c r="I496" t="str">
        <v>Auckland</v>
      </c>
      <c r="J496" t="str">
        <v>New Zealand</v>
      </c>
      <c r="K496" t="str">
        <v>Trailer</v>
      </c>
      <c r="L496" t="str">
        <v>Standard</v>
      </c>
      <c r="P496">
        <f t="shared" si="7"/>
        <v>3</v>
      </c>
    </row>
    <row r="497" spans="1:16" ht="14.5" x14ac:dyDescent="0.35">
      <c r="A497" s="12">
        <v>496</v>
      </c>
      <c r="B497" s="13" t="s">
        <v>25</v>
      </c>
      <c r="C497" s="12">
        <v>585</v>
      </c>
      <c r="D497" s="12">
        <v>2005</v>
      </c>
      <c r="E497" s="13" t="s">
        <v>315</v>
      </c>
      <c r="F497" s="13" t="s">
        <v>10</v>
      </c>
      <c r="G497" s="14">
        <v>44866</v>
      </c>
      <c r="H497" s="12">
        <v>109</v>
      </c>
      <c r="I497" t="str">
        <v>Wellington</v>
      </c>
      <c r="J497" t="str">
        <v>New Zealand</v>
      </c>
      <c r="K497" t="str">
        <v>Moped</v>
      </c>
      <c r="L497" t="str">
        <v>Standard</v>
      </c>
      <c r="P497">
        <f t="shared" si="7"/>
        <v>1</v>
      </c>
    </row>
    <row r="498" spans="1:16" ht="14.5" x14ac:dyDescent="0.35">
      <c r="A498" s="12">
        <v>497</v>
      </c>
      <c r="B498" s="13" t="s">
        <v>8</v>
      </c>
      <c r="C498" s="12">
        <v>623</v>
      </c>
      <c r="D498" s="12">
        <v>2021</v>
      </c>
      <c r="E498" s="13" t="s">
        <v>92</v>
      </c>
      <c r="F498" s="13" t="s">
        <v>10</v>
      </c>
      <c r="G498" s="14">
        <v>44867</v>
      </c>
      <c r="H498" s="12">
        <v>114</v>
      </c>
      <c r="I498" t="str">
        <v>Canterbury</v>
      </c>
      <c r="J498" t="str">
        <v>New Zealand</v>
      </c>
      <c r="K498" t="str">
        <v>Trailer</v>
      </c>
      <c r="L498" t="str">
        <v>Standard</v>
      </c>
      <c r="P498">
        <f t="shared" si="7"/>
        <v>1</v>
      </c>
    </row>
    <row r="499" spans="1:16" ht="14.5" x14ac:dyDescent="0.35">
      <c r="A499" s="12">
        <v>498</v>
      </c>
      <c r="B499" s="13" t="s">
        <v>8</v>
      </c>
      <c r="C499" s="12">
        <v>623</v>
      </c>
      <c r="D499" s="12">
        <v>2021</v>
      </c>
      <c r="E499" s="13" t="s">
        <v>121</v>
      </c>
      <c r="F499" s="13" t="s">
        <v>10</v>
      </c>
      <c r="G499" s="14">
        <v>44896</v>
      </c>
      <c r="H499" s="12">
        <v>102</v>
      </c>
      <c r="I499" t="str">
        <v>Auckland</v>
      </c>
      <c r="J499" t="str">
        <v>New Zealand</v>
      </c>
      <c r="K499" t="str">
        <v>Trailer</v>
      </c>
      <c r="L499" t="str">
        <v>Standard</v>
      </c>
      <c r="P499">
        <f t="shared" si="7"/>
        <v>1</v>
      </c>
    </row>
    <row r="500" spans="1:16" ht="14.5" x14ac:dyDescent="0.35">
      <c r="A500" s="12">
        <v>499</v>
      </c>
      <c r="B500" s="13" t="s">
        <v>8</v>
      </c>
      <c r="C500" s="12">
        <v>562</v>
      </c>
      <c r="D500" s="12">
        <v>2021</v>
      </c>
      <c r="E500" s="13" t="s">
        <v>276</v>
      </c>
      <c r="F500" s="13" t="s">
        <v>10</v>
      </c>
      <c r="G500" s="14">
        <v>44897</v>
      </c>
      <c r="H500" s="12">
        <v>114</v>
      </c>
      <c r="I500" t="str">
        <v>Canterbury</v>
      </c>
      <c r="J500" t="str">
        <v>New Zealand</v>
      </c>
      <c r="K500" t="str">
        <v>Kea</v>
      </c>
      <c r="L500" t="str">
        <v>Standard</v>
      </c>
      <c r="P500">
        <f t="shared" si="7"/>
        <v>1</v>
      </c>
    </row>
    <row r="501" spans="1:16" ht="14.5" x14ac:dyDescent="0.35">
      <c r="A501" s="12">
        <v>500</v>
      </c>
      <c r="B501" s="13" t="s">
        <v>37</v>
      </c>
      <c r="C501" s="12">
        <v>623</v>
      </c>
      <c r="D501" s="12">
        <v>2021</v>
      </c>
      <c r="E501" s="13" t="s">
        <v>316</v>
      </c>
      <c r="F501" s="13" t="s">
        <v>10</v>
      </c>
      <c r="G501" s="14">
        <v>44898</v>
      </c>
      <c r="H501" s="12">
        <v>102</v>
      </c>
      <c r="I501" t="str">
        <v>Auckland</v>
      </c>
      <c r="J501" t="str">
        <v>New Zealand</v>
      </c>
      <c r="K501" t="str">
        <v>Trailer</v>
      </c>
      <c r="L501" t="str">
        <v>Standard</v>
      </c>
      <c r="P501">
        <f t="shared" si="7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{RAW}Stolen_Vehicle_details</vt:lpstr>
      <vt:lpstr>LocationIDofDateStolen</vt:lpstr>
      <vt:lpstr>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Sumaira Kausar</cp:lastModifiedBy>
  <dcterms:modified xsi:type="dcterms:W3CDTF">2025-12-18T14:53:46Z</dcterms:modified>
</cp:coreProperties>
</file>